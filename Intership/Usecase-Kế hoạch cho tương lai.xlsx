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Lập Kế Hoạch Tài Chính Cá Nhân\"/>
    </mc:Choice>
  </mc:AlternateContent>
  <xr:revisionPtr revIDLastSave="0" documentId="8_{AB3CDDD7-24E2-411A-BF2D-E66766B19F5D}" xr6:coauthVersionLast="47" xr6:coauthVersionMax="47" xr10:uidLastSave="{00000000-0000-0000-0000-000000000000}"/>
  <bookViews>
    <workbookView xWindow="-108" yWindow="-108" windowWidth="23256" windowHeight="12456" firstSheet="1" activeTab="1" xr2:uid="{67FBC850-B7A1-4AEE-80E6-A6099DA6E8CE}"/>
  </bookViews>
  <sheets>
    <sheet name="Phí sinh hoạt" sheetId="1" r:id="rId1"/>
    <sheet name="Tài sản thực" sheetId="3" r:id="rId2"/>
    <sheet name="Thu Chi và Khả Năng Tiết Kiệm" sheetId="4" r:id="rId3"/>
    <sheet name="Tốc đợ tích lũy theo thời gian" sheetId="5" r:id="rId4"/>
    <sheet name="Tạm tính khả năng" sheetId="6" r:id="rId5"/>
    <sheet name="Kế hoạch học vấn" sheetId="7"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6" l="1"/>
  <c r="B3" i="6"/>
  <c r="C5" i="5"/>
  <c r="D13" i="1"/>
  <c r="D11" i="1"/>
  <c r="D9" i="1"/>
  <c r="B30" i="7"/>
  <c r="B18" i="7"/>
  <c r="B6" i="7"/>
  <c r="B9" i="7" l="1"/>
  <c r="B33" i="7"/>
  <c r="B36" i="7" s="1"/>
  <c r="E27" i="7" s="1"/>
  <c r="B21" i="7"/>
  <c r="B19" i="5"/>
  <c r="E33" i="7" l="1"/>
  <c r="D33" i="7"/>
  <c r="E30" i="7"/>
  <c r="D30" i="7"/>
  <c r="B12" i="7"/>
  <c r="E3" i="7" s="1"/>
  <c r="D6" i="7" s="1"/>
  <c r="B10" i="7"/>
  <c r="B22" i="7"/>
  <c r="B24" i="7"/>
  <c r="E15" i="7" s="1"/>
  <c r="D21" i="7" s="1"/>
  <c r="B34" i="7"/>
  <c r="E21" i="3"/>
  <c r="E21" i="7" l="1"/>
  <c r="E18" i="7"/>
  <c r="D18" i="7"/>
  <c r="E9" i="7"/>
  <c r="D9" i="7"/>
  <c r="E6" i="7"/>
  <c r="B9" i="5"/>
  <c r="B22" i="4"/>
  <c r="C19" i="4" s="1"/>
  <c r="C10" i="4" l="1"/>
  <c r="B7" i="4"/>
  <c r="C6" i="4" s="1"/>
  <c r="C21" i="3"/>
  <c r="C14" i="3"/>
  <c r="D8" i="1"/>
  <c r="C15" i="5" l="1"/>
  <c r="B6" i="6" s="1"/>
  <c r="D16" i="5"/>
  <c r="D17" i="5"/>
  <c r="D18" i="5"/>
  <c r="D15" i="5"/>
  <c r="C6" i="6" s="1"/>
  <c r="C16" i="5"/>
  <c r="C17" i="5"/>
  <c r="C18" i="5"/>
  <c r="C19" i="5"/>
  <c r="D19" i="5"/>
  <c r="E10" i="3"/>
  <c r="E5" i="3"/>
  <c r="E13" i="3"/>
  <c r="E4" i="3"/>
  <c r="E7" i="3"/>
  <c r="E12" i="3"/>
  <c r="E6" i="3"/>
  <c r="E8" i="3"/>
  <c r="E9" i="3"/>
  <c r="E11" i="3"/>
  <c r="C7" i="5"/>
  <c r="D6" i="5"/>
  <c r="D7" i="5"/>
  <c r="D8" i="5"/>
  <c r="D9" i="5"/>
  <c r="D5" i="5"/>
  <c r="C5" i="6" s="1"/>
  <c r="C8" i="5"/>
  <c r="C9" i="5"/>
  <c r="B5" i="6"/>
  <c r="C6" i="5"/>
  <c r="C22" i="3"/>
  <c r="C23" i="3" s="1"/>
  <c r="C16" i="4"/>
  <c r="C17" i="4"/>
  <c r="C9" i="4"/>
  <c r="C15" i="4"/>
  <c r="C12" i="4"/>
  <c r="C14" i="4"/>
  <c r="C13" i="4"/>
  <c r="C8" i="4"/>
  <c r="C11" i="4"/>
  <c r="C18" i="4"/>
  <c r="C22" i="4"/>
  <c r="C4" i="4"/>
  <c r="C5" i="4"/>
  <c r="B23" i="4"/>
  <c r="B24" i="4" s="1"/>
  <c r="E14" i="3" l="1"/>
  <c r="E22" i="3" s="1"/>
  <c r="E23" i="3" s="1"/>
  <c r="C23" i="4"/>
  <c r="C24" i="4" s="1"/>
  <c r="C7" i="4"/>
  <c r="B4" i="6" l="1"/>
  <c r="C4" i="6"/>
  <c r="C7" i="6" l="1"/>
  <c r="B7" i="6"/>
</calcChain>
</file>

<file path=xl/sharedStrings.xml><?xml version="1.0" encoding="utf-8"?>
<sst xmlns="http://schemas.openxmlformats.org/spreadsheetml/2006/main" count="188" uniqueCount="134">
  <si>
    <t>Phí sinh hoạt cho tuổi già là bao nhiêu?</t>
  </si>
  <si>
    <t>Phân loại</t>
  </si>
  <si>
    <t>A</t>
  </si>
  <si>
    <t>B</t>
  </si>
  <si>
    <t>C</t>
  </si>
  <si>
    <t>D</t>
  </si>
  <si>
    <t>Cách tính</t>
  </si>
  <si>
    <t>VD</t>
  </si>
  <si>
    <t>Lao động chính</t>
  </si>
  <si>
    <t>Thời gian làm việc còn lại</t>
  </si>
  <si>
    <t>D=B-A</t>
  </si>
  <si>
    <t>E</t>
  </si>
  <si>
    <t>H</t>
  </si>
  <si>
    <t>I</t>
  </si>
  <si>
    <t>Rà soát tình hình tài chính hiện tại, tình trạng tài sản và nợ</t>
  </si>
  <si>
    <t>Tài sản</t>
  </si>
  <si>
    <t>Bất động sản ở</t>
  </si>
  <si>
    <t>Bất động sản đầu tư</t>
  </si>
  <si>
    <t>Tiền cho thuê</t>
  </si>
  <si>
    <t>Tiền gửi Ngân Hàng</t>
  </si>
  <si>
    <t>Bảo hiểm khi đáo hạn</t>
  </si>
  <si>
    <t>Quỹ</t>
  </si>
  <si>
    <t>Cổ phiếu</t>
  </si>
  <si>
    <t>Ô tô dự định sẽ bán</t>
  </si>
  <si>
    <t>Kim loại quý</t>
  </si>
  <si>
    <t>Tổng cộng</t>
  </si>
  <si>
    <t>Vay thế chấp nhà</t>
  </si>
  <si>
    <t>Vay tín chấp</t>
  </si>
  <si>
    <t>Dư nợ thẻ tín dụng</t>
  </si>
  <si>
    <t>Thuê mua tài chính</t>
  </si>
  <si>
    <t>Trái phiếu</t>
  </si>
  <si>
    <t>Các khoản nợ khác</t>
  </si>
  <si>
    <t>Nợ</t>
  </si>
  <si>
    <t>GT hiện tại</t>
  </si>
  <si>
    <t>Tỷ lệ lãi/năm</t>
  </si>
  <si>
    <t>GT khi về hưu</t>
  </si>
  <si>
    <t>Tài sản thực</t>
  </si>
  <si>
    <t>Rà soát tình hình tài chính hiện tại - Rà soát thực trạng tổng thu và tổng chi</t>
  </si>
  <si>
    <t>Hạng mục</t>
  </si>
  <si>
    <t>Tôi</t>
  </si>
  <si>
    <t>Chi tiêu</t>
  </si>
  <si>
    <t>Tỷ trọng</t>
  </si>
  <si>
    <t>Thu nhập từ lương</t>
  </si>
  <si>
    <t>Thu nhập từ kinh doanh</t>
  </si>
  <si>
    <t>Các thu nhập khác</t>
  </si>
  <si>
    <t>CP lương thực thực phẩm</t>
  </si>
  <si>
    <t>CP cho việc cư trú/điện nước…</t>
  </si>
  <si>
    <t>CP đồ dùng sinh hoạt</t>
  </si>
  <si>
    <t>CP quần áo giày dép, mỹ phẩm</t>
  </si>
  <si>
    <t>CP vui chơi giải trí</t>
  </si>
  <si>
    <t>CP giao thông/xe cộ</t>
  </si>
  <si>
    <t>CP điện thoại/internet, cap</t>
  </si>
  <si>
    <t>CP trả lãi</t>
  </si>
  <si>
    <t>CP các việc hiếu hỉ</t>
  </si>
  <si>
    <t>CP y tế</t>
  </si>
  <si>
    <t>Tổng cộng chi phí (A)</t>
  </si>
  <si>
    <t>Tiết kiệm/Bảo hiểm (B)</t>
  </si>
  <si>
    <t>Tổng cộng (A+B)</t>
  </si>
  <si>
    <t>Quỹ dành cho tuổi già</t>
  </si>
  <si>
    <t>https://vietnamsalary.careerbuilder.vn/tinh-lai-kep.html</t>
  </si>
  <si>
    <t>Quỹ chuẩn bị cần thiết (GTTL)</t>
  </si>
  <si>
    <t>Số tiền vượt chỉ tiêu/(thiếu) GTTL</t>
  </si>
  <si>
    <t>Link Công thức tính lãi gộp cho giá trị tương lai</t>
  </si>
  <si>
    <t>Tổng số tiền TK cho một tháng</t>
  </si>
  <si>
    <t>Học Phí con thứ nhất</t>
  </si>
  <si>
    <t>Học Phí con thứ hai</t>
  </si>
  <si>
    <t>Học Phí con thứ ba</t>
  </si>
  <si>
    <t>Chi phí khác</t>
  </si>
  <si>
    <t>Quỹ đầu tư</t>
  </si>
  <si>
    <t>Lãi suất tiền gửi NH dự kiến (%)</t>
  </si>
  <si>
    <t>Lợi nhuận Quỹ đầu tư dự kiến (%)</t>
  </si>
  <si>
    <t>Lập kế hoạch cho tương lai</t>
  </si>
  <si>
    <t>Thống kê</t>
  </si>
  <si>
    <t>Theo lãi suất NH</t>
  </si>
  <si>
    <t>Tài sản khác: ngoại tệ,...</t>
  </si>
  <si>
    <t>Tổng số tiền TK cho một năm</t>
  </si>
  <si>
    <t>Details</t>
  </si>
  <si>
    <t>Chi tiết</t>
  </si>
  <si>
    <t>Tên</t>
  </si>
  <si>
    <t>Ngày tháng năm sinh</t>
  </si>
  <si>
    <t>Tuổi</t>
  </si>
  <si>
    <t>Tuổi vào đại học</t>
  </si>
  <si>
    <t>Số năm đi học còn lại</t>
  </si>
  <si>
    <t>Học phí trung bình/năm hiện tại</t>
  </si>
  <si>
    <t>Tổng kinh phí</t>
  </si>
  <si>
    <t>Học phí đại học (GTHT)</t>
  </si>
  <si>
    <t>Học phí đại học (GTTL, lạm phát trung bình 3%/năm)</t>
  </si>
  <si>
    <t>Học phí đại học (GTTL)</t>
  </si>
  <si>
    <t>Số tiền tiết kiệm theo năm</t>
  </si>
  <si>
    <t>Số tiền tiết kiệm theo tháng</t>
  </si>
  <si>
    <t>Tuổi hiện tại</t>
  </si>
  <si>
    <t>Tuổi dự định nghỉ hưu</t>
  </si>
  <si>
    <t>Tuổi thọ trung bình</t>
  </si>
  <si>
    <t>Chi phí sinh hoạt hằng tháng hiện tại</t>
  </si>
  <si>
    <t>Thời gian nghỉ hưu</t>
  </si>
  <si>
    <t>E=C-B</t>
  </si>
  <si>
    <t>Note: Tuổi thọ trung bình của người Việt liên tục tăng nhờ cải thiện y tế và chăm sóc sức khỏe</t>
  </si>
  <si>
    <t>Quỹ chuẩn bị cần thiết (theo giá trị hiện tại)</t>
  </si>
  <si>
    <t>F</t>
  </si>
  <si>
    <t>F=I*12*E</t>
  </si>
  <si>
    <t>G</t>
  </si>
  <si>
    <t>Giả định tỷ lệ lạm phát hằng năm</t>
  </si>
  <si>
    <t>Quỹ chuẩn bị cần thiết (theo giá trị tương lai)</t>
  </si>
  <si>
    <t>Tính theo thời giá hiện tại cho 1 người</t>
  </si>
  <si>
    <t>Lấy chi phí sinh hoạt hằng tháng hiện tại x 12 tháng x số năm nghỉ hưu</t>
  </si>
  <si>
    <t>Tham khảo tỷ lệ lạm phát trung bình trong các năm vừa qua: https://vneconomy.vn/lam-phat-nam-thu-11-lien-tiep-duoc-kiem-soat-theo-muc-tieu.htm</t>
  </si>
  <si>
    <t>Tại bước này sẽ cần ra report phân tích cho khách hàng với nội dung sau:</t>
  </si>
  <si>
    <r>
      <t xml:space="preserve">Theo các thông tin bạn cung cấp, hiện tại bạn </t>
    </r>
    <r>
      <rPr>
        <b/>
        <sz val="11"/>
        <color theme="1"/>
        <rFont val="Calibri"/>
        <family val="2"/>
        <scheme val="minor"/>
      </rPr>
      <t>35 tuổi</t>
    </r>
    <r>
      <rPr>
        <sz val="11"/>
        <color theme="1"/>
        <rFont val="Calibri"/>
        <family val="2"/>
        <scheme val="minor"/>
      </rPr>
      <t xml:space="preserve"> và dự định nghỉ hưu ở </t>
    </r>
    <r>
      <rPr>
        <b/>
        <sz val="11"/>
        <color theme="1"/>
        <rFont val="Calibri"/>
        <family val="2"/>
        <scheme val="minor"/>
      </rPr>
      <t>tuổi 55</t>
    </r>
    <r>
      <rPr>
        <sz val="11"/>
        <color theme="1"/>
        <rFont val="Calibri"/>
        <family val="2"/>
        <scheme val="minor"/>
      </rPr>
      <t xml:space="preserve">. Điều này có nghĩa là bạn còn khoảng </t>
    </r>
    <r>
      <rPr>
        <b/>
        <sz val="11"/>
        <color theme="1"/>
        <rFont val="Calibri"/>
        <family val="2"/>
        <scheme val="minor"/>
      </rPr>
      <t>20 năm</t>
    </r>
    <r>
      <rPr>
        <sz val="11"/>
        <color theme="1"/>
        <rFont val="Calibri"/>
        <family val="2"/>
        <scheme val="minor"/>
      </rPr>
      <t xml:space="preserve"> làm việc để chuẩn bị cho giai đoạn tài chính sau khi ngừng lao động.
Với giả định tuổi thọ trung bình khoảng </t>
    </r>
    <r>
      <rPr>
        <b/>
        <sz val="11"/>
        <color theme="1"/>
        <rFont val="Calibri"/>
        <family val="2"/>
        <scheme val="minor"/>
      </rPr>
      <t>80 tuổi,</t>
    </r>
    <r>
      <rPr>
        <sz val="11"/>
        <color theme="1"/>
        <rFont val="Calibri"/>
        <family val="2"/>
        <scheme val="minor"/>
      </rPr>
      <t xml:space="preserve"> giai đoạn hưu trí của bạn có thể kéo dài khoảng </t>
    </r>
    <r>
      <rPr>
        <b/>
        <sz val="11"/>
        <color theme="1"/>
        <rFont val="Calibri"/>
        <family val="2"/>
        <scheme val="minor"/>
      </rPr>
      <t>25 năm</t>
    </r>
    <r>
      <rPr>
        <sz val="11"/>
        <color theme="1"/>
        <rFont val="Calibri"/>
        <family val="2"/>
        <scheme val="minor"/>
      </rPr>
      <t xml:space="preserve">. Đây là khoảng thời gian mà nguồn thu nhập chủ động thường giảm đi, trong khi nhu cầu chi tiêu cho cuộc sống vẫn cần được duy trì ổn định.
Dựa trên mức chi phí sinh hoạt hiện tại khoảng </t>
    </r>
    <r>
      <rPr>
        <b/>
        <sz val="11"/>
        <color theme="1"/>
        <rFont val="Calibri"/>
        <family val="2"/>
        <scheme val="minor"/>
      </rPr>
      <t>15 triệu đồng</t>
    </r>
    <r>
      <rPr>
        <sz val="11"/>
        <color theme="1"/>
        <rFont val="Calibri"/>
        <family val="2"/>
        <scheme val="minor"/>
      </rPr>
      <t xml:space="preserve"> mỗi tháng, tổng nhu cầu tài chính cần thiết cho </t>
    </r>
    <r>
      <rPr>
        <b/>
        <sz val="11"/>
        <color theme="1"/>
        <rFont val="Calibri"/>
        <family val="2"/>
        <scheme val="minor"/>
      </rPr>
      <t>25 năm</t>
    </r>
    <r>
      <rPr>
        <sz val="11"/>
        <color theme="1"/>
        <rFont val="Calibri"/>
        <family val="2"/>
        <scheme val="minor"/>
      </rPr>
      <t xml:space="preserve"> hưu trí, nếu tính theo giá trị đồng tiền hiện tại, được ước tính vào khoảng: </t>
    </r>
    <r>
      <rPr>
        <b/>
        <sz val="11"/>
        <color theme="1"/>
        <rFont val="Calibri"/>
        <family val="2"/>
        <scheme val="minor"/>
      </rPr>
      <t>4,5 tỷ đồng</t>
    </r>
    <r>
      <rPr>
        <sz val="11"/>
        <color theme="1"/>
        <rFont val="Calibri"/>
        <family val="2"/>
        <scheme val="minor"/>
      </rPr>
      <t xml:space="preserve">
Tuy nhiên, cần lưu ý rằng bạn còn </t>
    </r>
    <r>
      <rPr>
        <b/>
        <sz val="11"/>
        <color theme="1"/>
        <rFont val="Calibri"/>
        <family val="2"/>
        <scheme val="minor"/>
      </rPr>
      <t xml:space="preserve">20 năm </t>
    </r>
    <r>
      <rPr>
        <sz val="11"/>
        <color theme="1"/>
        <rFont val="Calibri"/>
        <family val="2"/>
        <scheme val="minor"/>
      </rPr>
      <t>nữa mới bước vào giai đoạn nghỉ hưu. Trong khoảng thời gian này, lạm phát sẽ làm thay đổi sức mua của tiền theo thời gian.
Với giả định mức lạm phát trung bình khoảng</t>
    </r>
    <r>
      <rPr>
        <b/>
        <sz val="11"/>
        <color theme="1"/>
        <rFont val="Calibri"/>
        <family val="2"/>
        <scheme val="minor"/>
      </rPr>
      <t xml:space="preserve"> 3% </t>
    </r>
    <r>
      <rPr>
        <sz val="11"/>
        <color theme="1"/>
        <rFont val="Calibri"/>
        <family val="2"/>
        <scheme val="minor"/>
      </rPr>
      <t xml:space="preserve">mỗi năm, chúng tôi áp dụng nguyên tắc lãi kép để ước tính giá trị tương lai của quỹ hưu trí cần chuẩn bị.
Theo đó, để duy trì mức sống tương đương với chi tiêu </t>
    </r>
    <r>
      <rPr>
        <b/>
        <sz val="11"/>
        <color theme="1"/>
        <rFont val="Calibri"/>
        <family val="2"/>
        <scheme val="minor"/>
      </rPr>
      <t>15 triệu đồng/tháng</t>
    </r>
    <r>
      <rPr>
        <sz val="11"/>
        <color theme="1"/>
        <rFont val="Calibri"/>
        <family val="2"/>
        <scheme val="minor"/>
      </rPr>
      <t xml:space="preserve"> ở thời điểm hiện tại, số tiền cần chuẩn bị tại thời điểm nghỉ hưu có thể vào khoảng:
</t>
    </r>
    <r>
      <rPr>
        <b/>
        <sz val="11"/>
        <color theme="1"/>
        <rFont val="Calibri"/>
        <family val="2"/>
        <scheme val="minor"/>
      </rPr>
      <t>8.127.500.556 đồng (tương đương khoảng 8,13 tỷ đồng)</t>
    </r>
    <r>
      <rPr>
        <sz val="11"/>
        <color theme="1"/>
        <rFont val="Calibri"/>
        <family val="2"/>
        <scheme val="minor"/>
      </rPr>
      <t xml:space="preserve">.
Nói cách khác, đây là quy mô quỹ tài chính dự kiến cần có tại thời điểm </t>
    </r>
    <r>
      <rPr>
        <b/>
        <sz val="11"/>
        <color theme="1"/>
        <rFont val="Calibri"/>
        <family val="2"/>
        <scheme val="minor"/>
      </rPr>
      <t>55 tuổi</t>
    </r>
    <r>
      <rPr>
        <sz val="11"/>
        <color theme="1"/>
        <rFont val="Calibri"/>
        <family val="2"/>
        <scheme val="minor"/>
      </rPr>
      <t xml:space="preserve">, nhằm giúp bạn duy trì sự ổn định tài chính trong suốt </t>
    </r>
    <r>
      <rPr>
        <b/>
        <sz val="11"/>
        <color theme="1"/>
        <rFont val="Calibri"/>
        <family val="2"/>
        <scheme val="minor"/>
      </rPr>
      <t>25 năm</t>
    </r>
    <r>
      <rPr>
        <sz val="11"/>
        <color theme="1"/>
        <rFont val="Calibri"/>
        <family val="2"/>
        <scheme val="minor"/>
      </rPr>
      <t xml:space="preserve"> của giai đoạn hưu trí.
Những con số trên cho thấy mục tiêu tài chính cần đạt được trong tương lai.
Câu hỏi tiếp theo là: khả năng tích lũy hiện tại của bạn có đủ để đạt được mục tiêu này hay không?
Hãy đăng nhập để tiếp tục phần phân tích tiếp theo, nơi hệ thống sẽ mô phỏng khả năng tích lũy và khoảng cách tài chính của bạn theo thời gian.
Nếu bạn chưa có tài khoản, việc đăng ký chỉ mất vài phút. Mọi dữ liệu và kế hoạch tài chính của bạn sẽ được lưu trữ an toàn, giúp bạn dễ dàng quay lại theo dõi và điều chỉnh kế hoạch bất cứ khi nào cần.</t>
    </r>
  </si>
  <si>
    <t>Tài sản thực đang có dùng cho tuổi hưu (trừ đi bất động sản ở)</t>
  </si>
  <si>
    <t>Số tiền mỗi tháng</t>
  </si>
  <si>
    <t>Kế hoạch hưu trí</t>
  </si>
  <si>
    <t>Sửa chữa nâng cấp nhà cửa</t>
  </si>
  <si>
    <t>Đầu tư học tập cho con cái</t>
  </si>
  <si>
    <t>Tiết kiệm cho các mục đích khác</t>
  </si>
  <si>
    <t>Mục đích tiết kiệm</t>
  </si>
  <si>
    <t>Khả năng tiết kiệm theo tháng</t>
  </si>
  <si>
    <t>Khả năng tiết kiệm theo năm (VD: tiền thưởng, chia lợi nhuận, cổ tức…)</t>
  </si>
  <si>
    <t>Khả năng tiết kiệm theo tháng (GTTL)</t>
  </si>
  <si>
    <t>Khả năng tiết kiệm theo năm (GTTL)</t>
  </si>
  <si>
    <t>**Lưu ý: cột tỷ lệ lãi năm để một cái note cho khách tự dự đoán, lời khuyên, khách hàng nên đưa ra mức lãi trung bình hằng năm sát với thực tế, không nên quá chủ quan</t>
  </si>
  <si>
    <t>Về tỷ lệ lãi dòng bảo hiểm, hãy cố định nó bằng 0% vì đây là số tiền khi đáo hạn, tức bạn sẽ nhận giá trị trong tương lai bằng chính số tiền này. Gợi ý, để xem số tiền bảo hiểm khi đáo hạn, bảng hãy mở Bàng Minh Họa bảo hiểm để kiểm tra hoặc gặp nhân viên tư vấn Bảo hiểm</t>
  </si>
  <si>
    <t>Các mục trong tài sản và nợ, hãy cho thêm dấu cộng nếu khách hàng muốn add thêm các hạn mục khác</t>
  </si>
  <si>
    <t>Về nợ thì không cần để cột tỷ lệ lãi, nợ để cho khách hàng thấy được tài sản thực sau khi trừ đi các khoản nợ, giúp khách hàng ý thức để nhanh chóng trả nợ, giúp cho giá trị tài sản khi về hưu không còn bị trừ các khoản nợ nữa</t>
  </si>
  <si>
    <t>Giá trị khi về hưu bạn nhớ note điều kiện phải tất toán xong toàn bộ các khoản nợ đang có nhé</t>
  </si>
  <si>
    <t xml:space="preserve">Sau khi khác hàng nhập xong bảng thu chi, bạn hãy kết luận tổng thu nhập và tổng chi, kèm thông tin các khoản chi nào đang chiếm tỷ trọng cao nhất. </t>
  </si>
  <si>
    <t xml:space="preserve">Sau đó kết luận khách hàng còn dư 23 triệu cho việc tiết kiệm hoặc tham gia các khoản bảo hiểm nhân thọ </t>
  </si>
  <si>
    <t>Hạng mục thu nhập và chi phí, bạn có thể add thêm các dấu cộng nếu khách hàng muốn add thêm nhiều hạn mục khác</t>
  </si>
  <si>
    <t>Với khả năng tiết kiệm 23 triệu một tháng thì giá trị tích lũy liên tục trong 20 năm làm việc tiếp theo sẽ như thế nào? Bạn dẫn khách hàng sang bước tiếp theo</t>
  </si>
  <si>
    <t>Tốc độ tích lũy theo thời gian</t>
  </si>
  <si>
    <t>Ở bảng này bạn gợi ý cho khách hàng chia dòng tiền đầu tư qua 2 phương pháp phổ biến nhất</t>
  </si>
  <si>
    <t xml:space="preserve">Các mục đích tiết kiệm bạn có thể để dấu cộng để khách hàng có thể add thêm </t>
  </si>
  <si>
    <t>về lãi suất tiền gửi hay quỹ đầu tư, bạn hãy note khách hàng khảo % lợi nhuận trung bình trong 5 hoặc 10 năm gần nhất tại các ngân hàng và cá quỹ đầu tư</t>
  </si>
  <si>
    <t>Kiểm tra khoảng cách giữa mục tiêu hưu trí và nguồn lực tài chính</t>
  </si>
  <si>
    <t>Với báo cáo này thì khách hàng đã vượt chỉ tiêu, còn âm thì là chưa đạt. Khi đó Bạn hãy yêu cầu khách hàng rà soát và điều chỉnh lại các số liệu sao cho sát với thực tế: giảm mức chi tiêu hằng tháng, tăng thu - giảm chi phí - tăng số tiền tiết kiệm, xem xet tuổi nghỉ hưu, kiểm tra lại tài sản hiện tại.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</si>
</sst>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
    <numFmt numFmtId="167" formatCode="[$-409]d/m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b/>
      <sz val="12"/>
      <color theme="2" tint="-0.499984740745262"/>
      <name val="Calibri"/>
      <family val="2"/>
      <scheme val="minor"/>
    </font>
    <font>
      <b/>
      <sz val="11"/>
      <color theme="0"/>
      <name val="Calibri"/>
      <family val="2"/>
      <scheme val="minor"/>
    </font>
    <font>
      <b/>
      <sz val="12"/>
      <color theme="1" tint="0.499984740745262"/>
      <name val="Calibri"/>
      <family val="2"/>
      <scheme val="minor"/>
    </font>
    <font>
      <b/>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rgb="FF003366"/>
        <bgColor indexed="64"/>
      </patternFill>
    </fill>
    <fill>
      <patternFill patternType="solid">
        <fgColor rgb="FFFFFF00"/>
        <bgColor indexed="64"/>
      </patternFill>
    </fill>
  </fills>
  <borders count="20">
    <border>
      <left/>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style="thin">
        <color theme="0"/>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auto="1"/>
      </right>
      <top/>
      <bottom/>
      <diagonal/>
    </border>
    <border>
      <left style="thin">
        <color auto="1"/>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101">
    <xf numFmtId="0" fontId="0" fillId="0" borderId="0" xfId="0"/>
    <xf numFmtId="164" fontId="0" fillId="0" borderId="0" xfId="1" applyNumberFormat="1" applyFont="1"/>
    <xf numFmtId="9" fontId="0" fillId="0" borderId="0" xfId="0" applyNumberFormat="1"/>
    <xf numFmtId="9" fontId="0" fillId="0" borderId="0" xfId="2" applyFont="1"/>
    <xf numFmtId="0" fontId="4" fillId="0" borderId="0" xfId="3"/>
    <xf numFmtId="165" fontId="0" fillId="0" borderId="0" xfId="0" applyNumberFormat="1"/>
    <xf numFmtId="9" fontId="0" fillId="0" borderId="0" xfId="2" applyFont="1" applyBorder="1"/>
    <xf numFmtId="0" fontId="0" fillId="0" borderId="0" xfId="0" applyAlignment="1">
      <alignment horizontal="center"/>
    </xf>
    <xf numFmtId="0" fontId="7" fillId="3" borderId="6" xfId="0" applyFont="1" applyFill="1" applyBorder="1" applyAlignment="1">
      <alignment horizontal="center" vertical="center"/>
    </xf>
    <xf numFmtId="0" fontId="3" fillId="4" borderId="0" xfId="0" applyFont="1" applyFill="1"/>
    <xf numFmtId="164" fontId="7" fillId="4" borderId="0" xfId="1" applyNumberFormat="1" applyFont="1" applyFill="1" applyBorder="1"/>
    <xf numFmtId="1" fontId="7" fillId="4" borderId="0" xfId="2" applyNumberFormat="1" applyFont="1" applyFill="1" applyBorder="1"/>
    <xf numFmtId="164" fontId="7" fillId="4" borderId="0" xfId="0" applyNumberFormat="1" applyFont="1" applyFill="1"/>
    <xf numFmtId="164" fontId="3" fillId="4" borderId="0" xfId="1" applyNumberFormat="1" applyFont="1" applyFill="1" applyBorder="1"/>
    <xf numFmtId="164" fontId="3" fillId="4" borderId="12" xfId="0" applyNumberFormat="1" applyFont="1" applyFill="1" applyBorder="1"/>
    <xf numFmtId="164" fontId="3" fillId="4" borderId="14" xfId="0" applyNumberFormat="1" applyFont="1" applyFill="1" applyBorder="1"/>
    <xf numFmtId="164" fontId="7" fillId="4" borderId="16" xfId="1" applyNumberFormat="1" applyFont="1" applyFill="1" applyBorder="1"/>
    <xf numFmtId="1" fontId="7" fillId="4" borderId="16" xfId="2" applyNumberFormat="1" applyFont="1" applyFill="1" applyBorder="1"/>
    <xf numFmtId="164" fontId="7" fillId="4" borderId="17" xfId="0" applyNumberFormat="1" applyFont="1" applyFill="1" applyBorder="1"/>
    <xf numFmtId="38" fontId="3" fillId="4" borderId="12" xfId="0" applyNumberFormat="1" applyFont="1" applyFill="1" applyBorder="1"/>
    <xf numFmtId="38" fontId="3" fillId="4" borderId="14" xfId="0" applyNumberFormat="1" applyFont="1" applyFill="1" applyBorder="1"/>
    <xf numFmtId="0" fontId="7" fillId="4" borderId="11" xfId="0" applyFont="1" applyFill="1" applyBorder="1"/>
    <xf numFmtId="0" fontId="7" fillId="4" borderId="16" xfId="0" applyFont="1" applyFill="1" applyBorder="1"/>
    <xf numFmtId="0" fontId="3" fillId="4" borderId="11" xfId="0" applyFont="1" applyFill="1" applyBorder="1"/>
    <xf numFmtId="0" fontId="7" fillId="3" borderId="7" xfId="0" applyFont="1" applyFill="1" applyBorder="1" applyAlignment="1">
      <alignment horizontal="center"/>
    </xf>
    <xf numFmtId="9" fontId="7" fillId="3" borderId="7" xfId="2" applyFont="1" applyFill="1" applyBorder="1" applyAlignment="1">
      <alignment horizontal="center"/>
    </xf>
    <xf numFmtId="0" fontId="7" fillId="3" borderId="8" xfId="0" applyFont="1" applyFill="1" applyBorder="1" applyAlignment="1">
      <alignment horizontal="center"/>
    </xf>
    <xf numFmtId="0" fontId="7" fillId="3" borderId="8" xfId="0" applyFont="1" applyFill="1" applyBorder="1" applyAlignment="1">
      <alignment horizontal="center" vertical="center"/>
    </xf>
    <xf numFmtId="164" fontId="3" fillId="4" borderId="0" xfId="1" applyNumberFormat="1" applyFont="1" applyFill="1"/>
    <xf numFmtId="9" fontId="3" fillId="4" borderId="0" xfId="2" applyFont="1" applyFill="1"/>
    <xf numFmtId="0" fontId="7" fillId="4" borderId="0" xfId="0" applyFont="1" applyFill="1"/>
    <xf numFmtId="164" fontId="7" fillId="4" borderId="0" xfId="1" applyNumberFormat="1" applyFont="1" applyFill="1"/>
    <xf numFmtId="9" fontId="7" fillId="4" borderId="0" xfId="2" applyFont="1" applyFill="1"/>
    <xf numFmtId="164" fontId="7" fillId="3" borderId="7" xfId="1" applyNumberFormat="1" applyFont="1" applyFill="1" applyBorder="1" applyAlignment="1">
      <alignment horizontal="center"/>
    </xf>
    <xf numFmtId="0" fontId="7" fillId="3" borderId="10" xfId="0" applyFont="1" applyFill="1" applyBorder="1" applyAlignment="1">
      <alignment horizontal="center"/>
    </xf>
    <xf numFmtId="3" fontId="3" fillId="4" borderId="0" xfId="0" applyNumberFormat="1" applyFont="1" applyFill="1"/>
    <xf numFmtId="0" fontId="3" fillId="4" borderId="0" xfId="0" applyFont="1" applyFill="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vertical="center"/>
    </xf>
    <xf numFmtId="0" fontId="3" fillId="4" borderId="0" xfId="0" applyFont="1" applyFill="1" applyAlignment="1">
      <alignment horizontal="left" vertical="center" wrapText="1"/>
    </xf>
    <xf numFmtId="0" fontId="7" fillId="4" borderId="0" xfId="0" applyFont="1" applyFill="1" applyAlignment="1">
      <alignment horizontal="center"/>
    </xf>
    <xf numFmtId="0" fontId="7" fillId="4" borderId="0" xfId="0" applyFont="1" applyFill="1" applyAlignment="1">
      <alignment horizontal="left"/>
    </xf>
    <xf numFmtId="164" fontId="7" fillId="4" borderId="0" xfId="1" applyNumberFormat="1" applyFont="1" applyFill="1" applyAlignment="1">
      <alignment horizontal="center"/>
    </xf>
    <xf numFmtId="0" fontId="3" fillId="4" borderId="0" xfId="0" applyFont="1" applyFill="1" applyAlignment="1">
      <alignment horizontal="right"/>
    </xf>
    <xf numFmtId="38" fontId="7" fillId="4" borderId="17" xfId="0" applyNumberFormat="1" applyFont="1" applyFill="1" applyBorder="1"/>
    <xf numFmtId="0" fontId="3" fillId="3" borderId="0" xfId="0" applyFont="1" applyFill="1"/>
    <xf numFmtId="0" fontId="3" fillId="3" borderId="0" xfId="0" applyFont="1" applyFill="1" applyAlignment="1">
      <alignment horizontal="right"/>
    </xf>
    <xf numFmtId="0" fontId="3" fillId="4" borderId="0" xfId="0" applyFont="1" applyFill="1" applyAlignment="1">
      <alignment horizontal="left"/>
    </xf>
    <xf numFmtId="164" fontId="3" fillId="4" borderId="0" xfId="0" applyNumberFormat="1" applyFont="1" applyFill="1" applyAlignment="1">
      <alignment horizontal="left"/>
    </xf>
    <xf numFmtId="38" fontId="3" fillId="4" borderId="0" xfId="0" applyNumberFormat="1" applyFont="1" applyFill="1" applyAlignment="1">
      <alignment horizontal="left"/>
    </xf>
    <xf numFmtId="164" fontId="3" fillId="4" borderId="0" xfId="1" applyNumberFormat="1" applyFont="1" applyFill="1" applyAlignment="1">
      <alignment horizontal="right"/>
    </xf>
    <xf numFmtId="3" fontId="3" fillId="4" borderId="0" xfId="0" applyNumberFormat="1" applyFont="1" applyFill="1" applyAlignment="1">
      <alignment horizontal="left"/>
    </xf>
    <xf numFmtId="0" fontId="0" fillId="0" borderId="0" xfId="0" applyAlignment="1">
      <alignment horizontal="left"/>
    </xf>
    <xf numFmtId="0" fontId="0" fillId="0" borderId="0" xfId="0" applyAlignment="1">
      <alignment horizontal="right"/>
    </xf>
    <xf numFmtId="164" fontId="3" fillId="4" borderId="0" xfId="1" applyNumberFormat="1" applyFont="1" applyFill="1" applyAlignment="1">
      <alignment horizontal="left"/>
    </xf>
    <xf numFmtId="164" fontId="9" fillId="2" borderId="11" xfId="1" applyNumberFormat="1" applyFont="1" applyFill="1" applyBorder="1" applyProtection="1">
      <protection locked="0"/>
    </xf>
    <xf numFmtId="1" fontId="9" fillId="2" borderId="11" xfId="2" applyNumberFormat="1" applyFont="1" applyFill="1" applyBorder="1" applyProtection="1">
      <protection locked="0"/>
    </xf>
    <xf numFmtId="164" fontId="5" fillId="2" borderId="0" xfId="1" applyNumberFormat="1" applyFont="1" applyFill="1" applyBorder="1" applyProtection="1">
      <protection locked="0"/>
    </xf>
    <xf numFmtId="1" fontId="9" fillId="2" borderId="0" xfId="2" applyNumberFormat="1" applyFont="1" applyFill="1" applyBorder="1" applyProtection="1">
      <protection locked="0"/>
    </xf>
    <xf numFmtId="1" fontId="5" fillId="2" borderId="0" xfId="2" applyNumberFormat="1" applyFont="1" applyFill="1" applyBorder="1" applyProtection="1">
      <protection locked="0"/>
    </xf>
    <xf numFmtId="164" fontId="5" fillId="2" borderId="11" xfId="1" applyNumberFormat="1" applyFont="1" applyFill="1" applyBorder="1" applyProtection="1">
      <protection locked="0"/>
    </xf>
    <xf numFmtId="1" fontId="5" fillId="2" borderId="11" xfId="2" applyNumberFormat="1" applyFont="1" applyFill="1" applyBorder="1" applyProtection="1">
      <protection locked="0"/>
    </xf>
    <xf numFmtId="164" fontId="5" fillId="2" borderId="0" xfId="1" applyNumberFormat="1" applyFont="1" applyFill="1" applyProtection="1">
      <protection locked="0"/>
    </xf>
    <xf numFmtId="1" fontId="5" fillId="2" borderId="18" xfId="0" applyNumberFormat="1" applyFont="1" applyFill="1" applyBorder="1" applyAlignment="1" applyProtection="1">
      <alignment horizontal="center"/>
      <protection locked="0"/>
    </xf>
    <xf numFmtId="1" fontId="5" fillId="2" borderId="19" xfId="0" applyNumberFormat="1" applyFont="1" applyFill="1" applyBorder="1" applyAlignment="1" applyProtection="1">
      <alignment horizontal="center"/>
      <protection locked="0"/>
    </xf>
    <xf numFmtId="0" fontId="5" fillId="2" borderId="0" xfId="0" applyFont="1" applyFill="1" applyAlignment="1" applyProtection="1">
      <alignment horizontal="right"/>
      <protection locked="0"/>
    </xf>
    <xf numFmtId="167" fontId="5" fillId="2" borderId="0" xfId="0" applyNumberFormat="1" applyFont="1" applyFill="1" applyAlignment="1" applyProtection="1">
      <alignment horizontal="right"/>
      <protection locked="0"/>
    </xf>
    <xf numFmtId="164" fontId="5" fillId="2" borderId="0" xfId="1" applyNumberFormat="1" applyFont="1" applyFill="1" applyAlignment="1" applyProtection="1">
      <alignment horizontal="right"/>
      <protection locked="0"/>
    </xf>
    <xf numFmtId="0" fontId="3" fillId="4" borderId="0" xfId="0" applyFont="1" applyFill="1" applyAlignment="1">
      <alignment horizontal="left"/>
    </xf>
    <xf numFmtId="0" fontId="6" fillId="0" borderId="0" xfId="0" applyFont="1" applyAlignment="1">
      <alignment horizontal="center"/>
    </xf>
    <xf numFmtId="0" fontId="0" fillId="0" borderId="0" xfId="0" applyAlignment="1">
      <alignment horizont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7" xfId="0" applyFont="1" applyFill="1" applyBorder="1" applyAlignment="1">
      <alignment horizontal="center" vertical="center"/>
    </xf>
    <xf numFmtId="0" fontId="0" fillId="0" borderId="0" xfId="0" applyAlignment="1">
      <alignment horizontal="left" vertical="top" wrapText="1"/>
    </xf>
    <xf numFmtId="0" fontId="8" fillId="0" borderId="0" xfId="0" applyFont="1" applyAlignment="1">
      <alignment horizont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2" fillId="0" borderId="0" xfId="0" applyFont="1" applyAlignment="1">
      <alignment horizontal="left"/>
    </xf>
    <xf numFmtId="0" fontId="7" fillId="4" borderId="0" xfId="0" applyFont="1" applyFill="1" applyAlignment="1">
      <alignment horizontal="left"/>
    </xf>
    <xf numFmtId="0" fontId="7" fillId="4" borderId="0" xfId="0" applyFont="1" applyFill="1" applyAlignment="1">
      <alignment horizontal="left" wrapText="1"/>
    </xf>
    <xf numFmtId="0" fontId="7" fillId="3" borderId="2" xfId="0" applyFont="1" applyFill="1" applyBorder="1" applyAlignment="1">
      <alignment horizontal="center"/>
    </xf>
    <xf numFmtId="0" fontId="7" fillId="3" borderId="3" xfId="0" applyFont="1" applyFill="1" applyBorder="1" applyAlignment="1">
      <alignment horizontal="center"/>
    </xf>
    <xf numFmtId="0" fontId="8" fillId="0" borderId="0" xfId="0" applyFont="1" applyAlignment="1">
      <alignment horizontal="center" vertical="center"/>
    </xf>
    <xf numFmtId="0" fontId="3" fillId="4" borderId="10"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5" xfId="0" applyFont="1" applyFill="1" applyBorder="1" applyAlignment="1">
      <alignment horizontal="center" vertical="center"/>
    </xf>
    <xf numFmtId="0" fontId="7" fillId="3" borderId="5" xfId="0" applyFont="1" applyFill="1" applyBorder="1" applyAlignment="1">
      <alignment horizontal="center"/>
    </xf>
    <xf numFmtId="0" fontId="7" fillId="3" borderId="15" xfId="0" applyFont="1" applyFill="1" applyBorder="1" applyAlignment="1">
      <alignment horizontal="center"/>
    </xf>
    <xf numFmtId="0" fontId="7" fillId="3" borderId="17" xfId="0" applyFont="1" applyFill="1" applyBorder="1" applyAlignment="1">
      <alignment horizontal="left" vertical="center"/>
    </xf>
    <xf numFmtId="0" fontId="7" fillId="3" borderId="12" xfId="0" applyFont="1" applyFill="1" applyBorder="1" applyAlignment="1">
      <alignment horizontal="left" vertical="center"/>
    </xf>
    <xf numFmtId="0" fontId="7" fillId="3" borderId="0" xfId="0" applyFont="1" applyFill="1" applyAlignment="1">
      <alignment horizontal="center" vertical="center"/>
    </xf>
    <xf numFmtId="0" fontId="7" fillId="3" borderId="14" xfId="0" applyFont="1" applyFill="1" applyBorder="1" applyAlignment="1">
      <alignment horizontal="center" vertical="center"/>
    </xf>
    <xf numFmtId="0" fontId="5" fillId="5" borderId="0" xfId="0" applyFont="1" applyFill="1" applyAlignment="1" applyProtection="1">
      <alignment horizontal="center" vertical="center"/>
      <protection locked="0"/>
    </xf>
    <xf numFmtId="3" fontId="5" fillId="5" borderId="0" xfId="0" applyNumberFormat="1" applyFont="1" applyFill="1" applyAlignment="1" applyProtection="1">
      <alignment horizontal="center" vertical="center"/>
      <protection locked="0"/>
    </xf>
    <xf numFmtId="0" fontId="0" fillId="4" borderId="0" xfId="0" applyFill="1"/>
    <xf numFmtId="9" fontId="5" fillId="5" borderId="0" xfId="0" applyNumberFormat="1" applyFont="1" applyFill="1"/>
    <xf numFmtId="0" fontId="5" fillId="0" borderId="0" xfId="0" applyFont="1" applyFill="1" applyAlignment="1">
      <alignment horizontal="left" vertical="center"/>
    </xf>
    <xf numFmtId="164" fontId="5" fillId="2" borderId="0" xfId="1" quotePrefix="1" applyNumberFormat="1" applyFont="1" applyFill="1" applyProtection="1">
      <protection locked="0"/>
    </xf>
    <xf numFmtId="0" fontId="5" fillId="0" borderId="0" xfId="0" applyFont="1" applyFill="1"/>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colors>
    <mruColors>
      <color rgb="FF003366"/>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neconomy.vn/lam-phat-nam-thu-11-lien-tiep-duoc-kiem-soat-theo-muc-tieu.ht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vietnamsalary.careerbuilder.vn/tinh-lai-kep.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071C-4DAF-4224-B896-51F573721B33}">
  <sheetPr>
    <tabColor rgb="FF003366"/>
  </sheetPr>
  <dimension ref="A1:O17"/>
  <sheetViews>
    <sheetView showGridLines="0" topLeftCell="A7" zoomScaleNormal="100" workbookViewId="0">
      <selection activeCell="B17" sqref="B17:O17"/>
    </sheetView>
  </sheetViews>
  <sheetFormatPr defaultRowHeight="14.4" x14ac:dyDescent="0.3"/>
  <cols>
    <col min="2" max="2" width="36.44140625" bestFit="1" customWidth="1"/>
    <col min="3" max="3" width="25.77734375" customWidth="1"/>
    <col min="4" max="4" width="16.5546875" bestFit="1" customWidth="1"/>
  </cols>
  <sheetData>
    <row r="1" spans="1:5" ht="15.6" x14ac:dyDescent="0.3">
      <c r="A1" s="69" t="s">
        <v>71</v>
      </c>
      <c r="B1" s="69"/>
      <c r="C1" s="69"/>
      <c r="D1" s="69"/>
    </row>
    <row r="2" spans="1:5" x14ac:dyDescent="0.3">
      <c r="A2" s="70" t="s">
        <v>0</v>
      </c>
      <c r="B2" s="70"/>
      <c r="C2" s="70"/>
      <c r="D2" s="70"/>
    </row>
    <row r="3" spans="1:5" x14ac:dyDescent="0.3">
      <c r="A3" s="71" t="s">
        <v>1</v>
      </c>
      <c r="B3" s="72"/>
      <c r="C3" s="72" t="s">
        <v>6</v>
      </c>
      <c r="D3" s="8" t="s">
        <v>7</v>
      </c>
    </row>
    <row r="4" spans="1:5" x14ac:dyDescent="0.3">
      <c r="A4" s="73"/>
      <c r="B4" s="74"/>
      <c r="C4" s="74"/>
      <c r="D4" s="27" t="s">
        <v>8</v>
      </c>
    </row>
    <row r="5" spans="1:5" x14ac:dyDescent="0.3">
      <c r="A5" s="36" t="s">
        <v>2</v>
      </c>
      <c r="B5" s="37" t="s">
        <v>90</v>
      </c>
      <c r="C5" s="38"/>
      <c r="D5" s="94">
        <v>35</v>
      </c>
    </row>
    <row r="6" spans="1:5" x14ac:dyDescent="0.3">
      <c r="A6" s="36" t="s">
        <v>3</v>
      </c>
      <c r="B6" s="37" t="s">
        <v>91</v>
      </c>
      <c r="C6" s="38"/>
      <c r="D6" s="94">
        <v>55</v>
      </c>
    </row>
    <row r="7" spans="1:5" x14ac:dyDescent="0.3">
      <c r="A7" s="36" t="s">
        <v>4</v>
      </c>
      <c r="B7" s="37" t="s">
        <v>92</v>
      </c>
      <c r="C7" s="38"/>
      <c r="D7" s="94">
        <v>80</v>
      </c>
      <c r="E7" t="s">
        <v>96</v>
      </c>
    </row>
    <row r="8" spans="1:5" x14ac:dyDescent="0.3">
      <c r="A8" s="36" t="s">
        <v>5</v>
      </c>
      <c r="B8" s="37" t="s">
        <v>9</v>
      </c>
      <c r="C8" s="36" t="s">
        <v>10</v>
      </c>
      <c r="D8" s="36">
        <f>D6-D5</f>
        <v>20</v>
      </c>
    </row>
    <row r="9" spans="1:5" x14ac:dyDescent="0.3">
      <c r="A9" s="36" t="s">
        <v>11</v>
      </c>
      <c r="B9" s="37" t="s">
        <v>94</v>
      </c>
      <c r="C9" s="36" t="s">
        <v>95</v>
      </c>
      <c r="D9" s="36">
        <f>D7-D6</f>
        <v>25</v>
      </c>
    </row>
    <row r="10" spans="1:5" ht="16.05" customHeight="1" x14ac:dyDescent="0.3">
      <c r="A10" s="36" t="s">
        <v>13</v>
      </c>
      <c r="B10" s="39" t="s">
        <v>93</v>
      </c>
      <c r="C10" s="36"/>
      <c r="D10" s="95">
        <v>15000000</v>
      </c>
      <c r="E10" t="s">
        <v>103</v>
      </c>
    </row>
    <row r="11" spans="1:5" x14ac:dyDescent="0.3">
      <c r="A11" s="36" t="s">
        <v>98</v>
      </c>
      <c r="B11" s="37" t="s">
        <v>97</v>
      </c>
      <c r="C11" s="9" t="s">
        <v>99</v>
      </c>
      <c r="D11" s="28">
        <f>D10*12*D9</f>
        <v>4500000000</v>
      </c>
      <c r="E11" t="s">
        <v>104</v>
      </c>
    </row>
    <row r="12" spans="1:5" x14ac:dyDescent="0.3">
      <c r="A12" s="36" t="s">
        <v>100</v>
      </c>
      <c r="B12" s="37" t="s">
        <v>101</v>
      </c>
      <c r="C12" s="96"/>
      <c r="D12" s="97">
        <v>0.03</v>
      </c>
      <c r="E12" s="4" t="s">
        <v>105</v>
      </c>
    </row>
    <row r="13" spans="1:5" x14ac:dyDescent="0.3">
      <c r="A13" s="36" t="s">
        <v>12</v>
      </c>
      <c r="B13" s="37" t="s">
        <v>102</v>
      </c>
      <c r="C13" s="96"/>
      <c r="D13" s="28">
        <f>FV(D12,D8,0,-D11,0)</f>
        <v>8127500556.0123596</v>
      </c>
    </row>
    <row r="16" spans="1:5" x14ac:dyDescent="0.3">
      <c r="B16" s="98" t="s">
        <v>106</v>
      </c>
    </row>
    <row r="17" spans="2:15" ht="199.95" customHeight="1" x14ac:dyDescent="0.3">
      <c r="B17" s="75" t="s">
        <v>107</v>
      </c>
      <c r="C17" s="75"/>
      <c r="D17" s="75"/>
      <c r="E17" s="75"/>
      <c r="F17" s="75"/>
      <c r="G17" s="75"/>
      <c r="H17" s="75"/>
      <c r="I17" s="75"/>
      <c r="J17" s="75"/>
      <c r="K17" s="75"/>
      <c r="L17" s="75"/>
      <c r="M17" s="75"/>
      <c r="N17" s="75"/>
      <c r="O17" s="75"/>
    </row>
  </sheetData>
  <mergeCells count="5">
    <mergeCell ref="B17:O17"/>
    <mergeCell ref="A1:D1"/>
    <mergeCell ref="A2:D2"/>
    <mergeCell ref="A3:B4"/>
    <mergeCell ref="C3:C4"/>
  </mergeCells>
  <hyperlinks>
    <hyperlink ref="E12" r:id="rId1" display="https://vneconomy.vn/lam-phat-nam-thu-11-lien-tiep-duoc-kiem-soat-theo-muc-tieu.htm" xr:uid="{5307E2B6-81D3-474E-BF0B-014F929F6C51}"/>
  </hyperlinks>
  <pageMargins left="0.7" right="0.7" top="0.75" bottom="0.75" header="0.3" footer="0.3"/>
  <pageSetup paperSize="9" orientation="portrait" r:id="rId2"/>
  <headerFooter>
    <oddFooter>&amp;L_x000D_&amp;1#&amp;"Calibri"&amp;7&amp;K000000 ##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C070-B475-4373-8CCB-CFA6D2BFA6B2}">
  <sheetPr>
    <tabColor rgb="FF003366"/>
  </sheetPr>
  <dimension ref="A1:Q23"/>
  <sheetViews>
    <sheetView showGridLines="0" tabSelected="1" zoomScaleNormal="100" workbookViewId="0">
      <selection activeCell="G11" sqref="G11"/>
    </sheetView>
  </sheetViews>
  <sheetFormatPr defaultRowHeight="14.4" x14ac:dyDescent="0.3"/>
  <cols>
    <col min="1" max="1" width="10.88671875" bestFit="1" customWidth="1"/>
    <col min="2" max="2" width="20.77734375" bestFit="1" customWidth="1"/>
    <col min="3" max="3" width="16.109375" bestFit="1" customWidth="1"/>
    <col min="4" max="4" width="12" style="3" bestFit="1" customWidth="1"/>
    <col min="5" max="5" width="22.5546875" customWidth="1"/>
  </cols>
  <sheetData>
    <row r="1" spans="1:17" ht="15.6" x14ac:dyDescent="0.3">
      <c r="A1" s="84" t="s">
        <v>14</v>
      </c>
      <c r="B1" s="84"/>
      <c r="C1" s="84"/>
      <c r="D1" s="84"/>
      <c r="E1" s="84"/>
      <c r="G1" s="79" t="s">
        <v>62</v>
      </c>
      <c r="H1" s="79"/>
      <c r="I1" s="79"/>
      <c r="J1" s="79"/>
      <c r="K1" s="79"/>
      <c r="L1" s="79"/>
      <c r="M1" s="79"/>
      <c r="N1" s="79"/>
      <c r="O1" s="79"/>
      <c r="P1" s="79"/>
      <c r="Q1" s="79"/>
    </row>
    <row r="2" spans="1:17" x14ac:dyDescent="0.3">
      <c r="A2" s="77" t="s">
        <v>1</v>
      </c>
      <c r="B2" s="78"/>
      <c r="C2" s="82" t="s">
        <v>8</v>
      </c>
      <c r="D2" s="82"/>
      <c r="E2" s="83"/>
      <c r="G2" s="4" t="s">
        <v>59</v>
      </c>
    </row>
    <row r="3" spans="1:17" x14ac:dyDescent="0.3">
      <c r="A3" s="73"/>
      <c r="B3" s="74"/>
      <c r="C3" s="24" t="s">
        <v>33</v>
      </c>
      <c r="D3" s="25" t="s">
        <v>34</v>
      </c>
      <c r="E3" s="26" t="s">
        <v>35</v>
      </c>
      <c r="G3" s="6"/>
      <c r="H3" s="5"/>
      <c r="I3" s="5"/>
      <c r="J3" s="5"/>
      <c r="K3" s="5"/>
      <c r="L3" s="5"/>
      <c r="M3" s="5"/>
      <c r="N3" s="5"/>
      <c r="O3" s="5"/>
      <c r="P3" s="5"/>
      <c r="Q3" s="5"/>
    </row>
    <row r="4" spans="1:17" x14ac:dyDescent="0.3">
      <c r="A4" s="85" t="s">
        <v>15</v>
      </c>
      <c r="B4" s="21" t="s">
        <v>16</v>
      </c>
      <c r="C4" s="55">
        <v>2000000000</v>
      </c>
      <c r="D4" s="56"/>
      <c r="E4" s="14">
        <f>FV(D4%,'Phí sinh hoạt'!$D$8,0,-'Tài sản thực'!C4,0)</f>
        <v>2000000000</v>
      </c>
      <c r="G4" s="6"/>
      <c r="H4" s="5"/>
      <c r="I4" s="5"/>
      <c r="J4" s="5"/>
      <c r="K4" s="5"/>
      <c r="L4" s="5"/>
      <c r="M4" s="5"/>
      <c r="N4" s="5"/>
      <c r="O4" s="5"/>
      <c r="P4" s="5"/>
      <c r="Q4" s="5"/>
    </row>
    <row r="5" spans="1:17" x14ac:dyDescent="0.3">
      <c r="A5" s="86"/>
      <c r="B5" s="9" t="s">
        <v>17</v>
      </c>
      <c r="C5" s="57">
        <v>0</v>
      </c>
      <c r="D5" s="58"/>
      <c r="E5" s="15">
        <f>FV(D5%,'Phí sinh hoạt'!$D$8,0,-'Tài sản thực'!C5,0)</f>
        <v>0</v>
      </c>
      <c r="G5" s="6"/>
      <c r="H5" s="5"/>
      <c r="I5" s="5"/>
      <c r="J5" s="5"/>
      <c r="K5" s="5"/>
      <c r="L5" s="5"/>
      <c r="M5" s="5"/>
      <c r="N5" s="5"/>
      <c r="O5" s="5"/>
      <c r="P5" s="5"/>
      <c r="Q5" s="5"/>
    </row>
    <row r="6" spans="1:17" x14ac:dyDescent="0.3">
      <c r="A6" s="86"/>
      <c r="B6" s="9" t="s">
        <v>18</v>
      </c>
      <c r="C6" s="57">
        <v>0</v>
      </c>
      <c r="D6" s="59"/>
      <c r="E6" s="15">
        <f>FV(D6%,'Phí sinh hoạt'!$D$8,0,-'Tài sản thực'!C6,0)</f>
        <v>0</v>
      </c>
      <c r="G6" s="6" t="s">
        <v>119</v>
      </c>
      <c r="H6" s="5"/>
      <c r="I6" s="5"/>
      <c r="J6" s="5"/>
      <c r="K6" s="5"/>
      <c r="L6" s="5"/>
      <c r="M6" s="5"/>
      <c r="N6" s="5"/>
      <c r="O6" s="5"/>
      <c r="P6" s="5"/>
      <c r="Q6" s="5"/>
    </row>
    <row r="7" spans="1:17" x14ac:dyDescent="0.3">
      <c r="A7" s="86"/>
      <c r="B7" s="9" t="s">
        <v>19</v>
      </c>
      <c r="C7" s="57">
        <v>500000000</v>
      </c>
      <c r="D7" s="59">
        <v>5</v>
      </c>
      <c r="E7" s="15">
        <f>FV(D7%,'Phí sinh hoạt'!$D$8,0,-'Tài sản thực'!C7,0)</f>
        <v>1326648852.5722106</v>
      </c>
      <c r="G7" s="6" t="s">
        <v>120</v>
      </c>
      <c r="H7" s="5"/>
      <c r="I7" s="5"/>
      <c r="J7" s="5"/>
      <c r="K7" s="5"/>
      <c r="L7" s="5"/>
      <c r="M7" s="5"/>
      <c r="N7" s="5"/>
      <c r="O7" s="5"/>
      <c r="P7" s="5"/>
      <c r="Q7" s="5"/>
    </row>
    <row r="8" spans="1:17" x14ac:dyDescent="0.3">
      <c r="A8" s="86"/>
      <c r="B8" s="9" t="s">
        <v>20</v>
      </c>
      <c r="C8" s="57">
        <v>300000000</v>
      </c>
      <c r="D8" s="59">
        <v>0</v>
      </c>
      <c r="E8" s="15">
        <f>FV(D8%,'Phí sinh hoạt'!$D$8,0,-'Tài sản thực'!C8,0)</f>
        <v>300000000</v>
      </c>
      <c r="G8" s="6" t="s">
        <v>121</v>
      </c>
      <c r="H8" s="5"/>
      <c r="I8" s="5"/>
      <c r="J8" s="5"/>
      <c r="K8" s="5"/>
      <c r="L8" s="5"/>
      <c r="M8" s="5"/>
      <c r="N8" s="5"/>
      <c r="O8" s="5"/>
      <c r="P8" s="5"/>
      <c r="Q8" s="5"/>
    </row>
    <row r="9" spans="1:17" x14ac:dyDescent="0.3">
      <c r="A9" s="86"/>
      <c r="B9" s="9" t="s">
        <v>21</v>
      </c>
      <c r="C9" s="57">
        <v>500000000</v>
      </c>
      <c r="D9" s="59">
        <v>11</v>
      </c>
      <c r="E9" s="15">
        <f>FV(D9%,'Phí sinh hoạt'!$D$8,0,-'Tài sản thực'!C9,0)</f>
        <v>4031155768.0645766</v>
      </c>
      <c r="G9" s="6" t="s">
        <v>122</v>
      </c>
      <c r="H9" s="5"/>
      <c r="I9" s="5"/>
      <c r="J9" s="5"/>
      <c r="K9" s="5"/>
      <c r="L9" s="5"/>
      <c r="M9" s="5"/>
      <c r="N9" s="5"/>
      <c r="O9" s="5"/>
      <c r="P9" s="5"/>
      <c r="Q9" s="5"/>
    </row>
    <row r="10" spans="1:17" x14ac:dyDescent="0.3">
      <c r="A10" s="86"/>
      <c r="B10" s="9" t="s">
        <v>22</v>
      </c>
      <c r="C10" s="57">
        <v>0</v>
      </c>
      <c r="D10" s="59"/>
      <c r="E10" s="15">
        <f>FV(D10%,'Phí sinh hoạt'!$D$8,0,-'Tài sản thực'!C10,0)</f>
        <v>0</v>
      </c>
      <c r="G10" s="6" t="s">
        <v>123</v>
      </c>
      <c r="H10" s="5"/>
      <c r="I10" s="5"/>
      <c r="J10" s="5"/>
      <c r="K10" s="5"/>
      <c r="L10" s="5"/>
      <c r="M10" s="5"/>
      <c r="N10" s="5"/>
      <c r="O10" s="5"/>
      <c r="P10" s="5"/>
      <c r="Q10" s="5"/>
    </row>
    <row r="11" spans="1:17" x14ac:dyDescent="0.3">
      <c r="A11" s="86"/>
      <c r="B11" s="9" t="s">
        <v>23</v>
      </c>
      <c r="C11" s="57">
        <v>0</v>
      </c>
      <c r="D11" s="59"/>
      <c r="E11" s="15">
        <f>FV(D11%,'Phí sinh hoạt'!$D$8,0,-'Tài sản thực'!C11,0)</f>
        <v>0</v>
      </c>
    </row>
    <row r="12" spans="1:17" x14ac:dyDescent="0.3">
      <c r="A12" s="86"/>
      <c r="B12" s="9" t="s">
        <v>24</v>
      </c>
      <c r="C12" s="57">
        <v>0</v>
      </c>
      <c r="D12" s="59"/>
      <c r="E12" s="15">
        <f>FV(D12%,'Phí sinh hoạt'!$D$8,0,-'Tài sản thực'!C12,0)</f>
        <v>0</v>
      </c>
    </row>
    <row r="13" spans="1:17" x14ac:dyDescent="0.3">
      <c r="A13" s="86"/>
      <c r="B13" s="9" t="s">
        <v>74</v>
      </c>
      <c r="C13" s="57">
        <v>0</v>
      </c>
      <c r="D13" s="59"/>
      <c r="E13" s="15">
        <f>FV(D13%,'Phí sinh hoạt'!$D$8,0,-'Tài sản thực'!C13,0)</f>
        <v>0</v>
      </c>
    </row>
    <row r="14" spans="1:17" x14ac:dyDescent="0.3">
      <c r="A14" s="87"/>
      <c r="B14" s="22" t="s">
        <v>25</v>
      </c>
      <c r="C14" s="16">
        <f>SUM(C4:C13)</f>
        <v>3300000000</v>
      </c>
      <c r="D14" s="17"/>
      <c r="E14" s="18">
        <f>SUM(E4:E13)</f>
        <v>7657804620.6367874</v>
      </c>
    </row>
    <row r="15" spans="1:17" x14ac:dyDescent="0.3">
      <c r="A15" s="85" t="s">
        <v>32</v>
      </c>
      <c r="B15" s="23" t="s">
        <v>26</v>
      </c>
      <c r="C15" s="60">
        <v>500000000</v>
      </c>
      <c r="D15" s="61"/>
      <c r="E15" s="19">
        <v>0</v>
      </c>
    </row>
    <row r="16" spans="1:17" x14ac:dyDescent="0.3">
      <c r="A16" s="86"/>
      <c r="B16" s="9" t="s">
        <v>27</v>
      </c>
      <c r="C16" s="57"/>
      <c r="D16" s="59"/>
      <c r="E16" s="20">
        <v>0</v>
      </c>
    </row>
    <row r="17" spans="1:5" x14ac:dyDescent="0.3">
      <c r="A17" s="86"/>
      <c r="B17" s="9" t="s">
        <v>28</v>
      </c>
      <c r="C17" s="57"/>
      <c r="D17" s="59"/>
      <c r="E17" s="20">
        <v>0</v>
      </c>
    </row>
    <row r="18" spans="1:5" x14ac:dyDescent="0.3">
      <c r="A18" s="86"/>
      <c r="B18" s="9" t="s">
        <v>29</v>
      </c>
      <c r="C18" s="57"/>
      <c r="D18" s="59"/>
      <c r="E18" s="20">
        <v>0</v>
      </c>
    </row>
    <row r="19" spans="1:5" x14ac:dyDescent="0.3">
      <c r="A19" s="86"/>
      <c r="B19" s="9" t="s">
        <v>30</v>
      </c>
      <c r="C19" s="57"/>
      <c r="D19" s="59"/>
      <c r="E19" s="20">
        <v>0</v>
      </c>
    </row>
    <row r="20" spans="1:5" x14ac:dyDescent="0.3">
      <c r="A20" s="86"/>
      <c r="B20" s="9" t="s">
        <v>31</v>
      </c>
      <c r="C20" s="57"/>
      <c r="D20" s="59"/>
      <c r="E20" s="20">
        <v>0</v>
      </c>
    </row>
    <row r="21" spans="1:5" x14ac:dyDescent="0.3">
      <c r="A21" s="87"/>
      <c r="B21" s="22" t="s">
        <v>25</v>
      </c>
      <c r="C21" s="16">
        <f>SUM(C15:C20)</f>
        <v>500000000</v>
      </c>
      <c r="D21" s="17"/>
      <c r="E21" s="44">
        <f>SUM(E15:E20)</f>
        <v>0</v>
      </c>
    </row>
    <row r="22" spans="1:5" x14ac:dyDescent="0.3">
      <c r="A22" s="80" t="s">
        <v>36</v>
      </c>
      <c r="B22" s="80"/>
      <c r="C22" s="10">
        <f>C14-C21</f>
        <v>2800000000</v>
      </c>
      <c r="D22" s="11"/>
      <c r="E22" s="12">
        <f>E14-E21</f>
        <v>7657804620.6367874</v>
      </c>
    </row>
    <row r="23" spans="1:5" ht="29.4" customHeight="1" x14ac:dyDescent="0.3">
      <c r="A23" s="81" t="s">
        <v>108</v>
      </c>
      <c r="B23" s="81"/>
      <c r="C23" s="10">
        <f>C22-C4</f>
        <v>800000000</v>
      </c>
      <c r="D23" s="11"/>
      <c r="E23" s="10">
        <f>E22-E4</f>
        <v>5657804620.6367874</v>
      </c>
    </row>
  </sheetData>
  <mergeCells count="8">
    <mergeCell ref="G1:Q1"/>
    <mergeCell ref="A22:B22"/>
    <mergeCell ref="A23:B23"/>
    <mergeCell ref="C2:E2"/>
    <mergeCell ref="A1:E1"/>
    <mergeCell ref="A2:B3"/>
    <mergeCell ref="A4:A14"/>
    <mergeCell ref="A15:A21"/>
  </mergeCells>
  <hyperlinks>
    <hyperlink ref="G2" r:id="rId1" xr:uid="{AF19CD60-932F-4981-8D80-47C8191181AA}"/>
  </hyperlinks>
  <pageMargins left="0.7" right="0.7" top="0.75" bottom="0.75" header="0.3" footer="0.3"/>
  <pageSetup paperSize="9" orientation="portrait" r:id="rId2"/>
  <headerFooter>
    <oddFooter>&amp;L_x000D_&amp;1#&amp;"Calibri"&amp;7&amp;K000000 ## RESTRICTED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923F3-ABB5-46DF-BE5C-F8C395A1E1D7}">
  <sheetPr>
    <tabColor rgb="FF009999"/>
  </sheetPr>
  <dimension ref="A1:E24"/>
  <sheetViews>
    <sheetView showGridLines="0" workbookViewId="0">
      <selection activeCell="E7" sqref="E7"/>
    </sheetView>
  </sheetViews>
  <sheetFormatPr defaultRowHeight="14.4" x14ac:dyDescent="0.3"/>
  <cols>
    <col min="1" max="1" width="26.77734375" customWidth="1"/>
    <col min="2" max="2" width="14.109375" style="1" bestFit="1" customWidth="1"/>
    <col min="3" max="3" width="10.6640625" style="3" customWidth="1"/>
  </cols>
  <sheetData>
    <row r="1" spans="1:5" ht="15.6" x14ac:dyDescent="0.3">
      <c r="A1" s="76" t="s">
        <v>37</v>
      </c>
      <c r="B1" s="76"/>
      <c r="C1" s="76"/>
    </row>
    <row r="2" spans="1:5" x14ac:dyDescent="0.3">
      <c r="A2" s="90" t="s">
        <v>38</v>
      </c>
      <c r="B2" s="88" t="s">
        <v>39</v>
      </c>
      <c r="C2" s="88"/>
    </row>
    <row r="3" spans="1:5" x14ac:dyDescent="0.3">
      <c r="A3" s="91"/>
      <c r="B3" s="33" t="s">
        <v>40</v>
      </c>
      <c r="C3" s="25" t="s">
        <v>41</v>
      </c>
    </row>
    <row r="4" spans="1:5" x14ac:dyDescent="0.3">
      <c r="A4" s="9" t="s">
        <v>42</v>
      </c>
      <c r="B4" s="62">
        <v>50000000</v>
      </c>
      <c r="C4" s="29">
        <f>B4/B7</f>
        <v>1</v>
      </c>
      <c r="E4" t="s">
        <v>126</v>
      </c>
    </row>
    <row r="5" spans="1:5" x14ac:dyDescent="0.3">
      <c r="A5" s="9" t="s">
        <v>43</v>
      </c>
      <c r="B5" s="62">
        <v>0</v>
      </c>
      <c r="C5" s="29">
        <f>B5/B7</f>
        <v>0</v>
      </c>
      <c r="E5" t="s">
        <v>124</v>
      </c>
    </row>
    <row r="6" spans="1:5" x14ac:dyDescent="0.3">
      <c r="A6" s="9" t="s">
        <v>44</v>
      </c>
      <c r="B6" s="62">
        <v>0</v>
      </c>
      <c r="C6" s="29">
        <f>B6/B7</f>
        <v>0</v>
      </c>
      <c r="E6" t="s">
        <v>125</v>
      </c>
    </row>
    <row r="7" spans="1:5" x14ac:dyDescent="0.3">
      <c r="A7" s="30" t="s">
        <v>25</v>
      </c>
      <c r="B7" s="31">
        <f>SUM(B4:B6)</f>
        <v>50000000</v>
      </c>
      <c r="C7" s="32">
        <f>SUM(C4:C6)</f>
        <v>1</v>
      </c>
      <c r="E7" t="s">
        <v>127</v>
      </c>
    </row>
    <row r="8" spans="1:5" x14ac:dyDescent="0.3">
      <c r="A8" s="9" t="s">
        <v>45</v>
      </c>
      <c r="B8" s="62">
        <v>10000000</v>
      </c>
      <c r="C8" s="29">
        <f>B8/$B$22</f>
        <v>0.37037037037037035</v>
      </c>
    </row>
    <row r="9" spans="1:5" x14ac:dyDescent="0.3">
      <c r="A9" s="9" t="s">
        <v>46</v>
      </c>
      <c r="B9" s="62">
        <v>2000000</v>
      </c>
      <c r="C9" s="29">
        <f t="shared" ref="C9:C19" si="0">B9/$B$22</f>
        <v>7.407407407407407E-2</v>
      </c>
    </row>
    <row r="10" spans="1:5" x14ac:dyDescent="0.3">
      <c r="A10" s="9" t="s">
        <v>47</v>
      </c>
      <c r="B10" s="62">
        <v>1000000</v>
      </c>
      <c r="C10" s="29">
        <f t="shared" si="0"/>
        <v>3.7037037037037035E-2</v>
      </c>
    </row>
    <row r="11" spans="1:5" x14ac:dyDescent="0.3">
      <c r="A11" s="9" t="s">
        <v>48</v>
      </c>
      <c r="B11" s="62">
        <v>1000000</v>
      </c>
      <c r="C11" s="29">
        <f t="shared" si="0"/>
        <v>3.7037037037037035E-2</v>
      </c>
    </row>
    <row r="12" spans="1:5" x14ac:dyDescent="0.3">
      <c r="A12" s="9" t="s">
        <v>54</v>
      </c>
      <c r="B12" s="62">
        <v>1000000</v>
      </c>
      <c r="C12" s="29">
        <f t="shared" si="0"/>
        <v>3.7037037037037035E-2</v>
      </c>
    </row>
    <row r="13" spans="1:5" x14ac:dyDescent="0.3">
      <c r="A13" s="9" t="s">
        <v>49</v>
      </c>
      <c r="B13" s="62">
        <v>1000000</v>
      </c>
      <c r="C13" s="29">
        <f t="shared" si="0"/>
        <v>3.7037037037037035E-2</v>
      </c>
    </row>
    <row r="14" spans="1:5" x14ac:dyDescent="0.3">
      <c r="A14" s="9" t="s">
        <v>50</v>
      </c>
      <c r="B14" s="62">
        <v>500000</v>
      </c>
      <c r="C14" s="29">
        <f t="shared" si="0"/>
        <v>1.8518518518518517E-2</v>
      </c>
    </row>
    <row r="15" spans="1:5" x14ac:dyDescent="0.3">
      <c r="A15" s="9" t="s">
        <v>51</v>
      </c>
      <c r="B15" s="62">
        <v>500000</v>
      </c>
      <c r="C15" s="29">
        <f t="shared" si="0"/>
        <v>1.8518518518518517E-2</v>
      </c>
    </row>
    <row r="16" spans="1:5" x14ac:dyDescent="0.3">
      <c r="A16" s="9" t="s">
        <v>52</v>
      </c>
      <c r="B16" s="62">
        <v>3000000</v>
      </c>
      <c r="C16" s="29">
        <f t="shared" si="0"/>
        <v>0.1111111111111111</v>
      </c>
    </row>
    <row r="17" spans="1:3" x14ac:dyDescent="0.3">
      <c r="A17" s="9" t="s">
        <v>53</v>
      </c>
      <c r="B17" s="62">
        <v>5000000</v>
      </c>
      <c r="C17" s="29">
        <f t="shared" si="0"/>
        <v>0.18518518518518517</v>
      </c>
    </row>
    <row r="18" spans="1:3" x14ac:dyDescent="0.3">
      <c r="A18" s="9" t="s">
        <v>64</v>
      </c>
      <c r="B18" s="62">
        <v>1000000</v>
      </c>
      <c r="C18" s="29">
        <f t="shared" si="0"/>
        <v>3.7037037037037035E-2</v>
      </c>
    </row>
    <row r="19" spans="1:3" x14ac:dyDescent="0.3">
      <c r="A19" s="9" t="s">
        <v>65</v>
      </c>
      <c r="B19" s="62">
        <v>1000000</v>
      </c>
      <c r="C19" s="29">
        <f t="shared" si="0"/>
        <v>3.7037037037037035E-2</v>
      </c>
    </row>
    <row r="20" spans="1:3" x14ac:dyDescent="0.3">
      <c r="A20" s="9" t="s">
        <v>66</v>
      </c>
      <c r="B20" s="62"/>
      <c r="C20" s="29"/>
    </row>
    <row r="21" spans="1:3" x14ac:dyDescent="0.3">
      <c r="A21" s="9" t="s">
        <v>67</v>
      </c>
      <c r="B21" s="62">
        <v>0</v>
      </c>
      <c r="C21" s="29"/>
    </row>
    <row r="22" spans="1:3" x14ac:dyDescent="0.3">
      <c r="A22" s="30" t="s">
        <v>55</v>
      </c>
      <c r="B22" s="31">
        <f>SUM(B8:B21)</f>
        <v>27000000</v>
      </c>
      <c r="C22" s="32">
        <f>B22/B7</f>
        <v>0.54</v>
      </c>
    </row>
    <row r="23" spans="1:3" x14ac:dyDescent="0.3">
      <c r="A23" s="30" t="s">
        <v>56</v>
      </c>
      <c r="B23" s="31">
        <f>B7-B22</f>
        <v>23000000</v>
      </c>
      <c r="C23" s="32">
        <f>B23/B7</f>
        <v>0.46</v>
      </c>
    </row>
    <row r="24" spans="1:3" x14ac:dyDescent="0.3">
      <c r="A24" s="30" t="s">
        <v>57</v>
      </c>
      <c r="B24" s="31">
        <f>B22+B23</f>
        <v>50000000</v>
      </c>
      <c r="C24" s="32">
        <f>C22+C23</f>
        <v>1</v>
      </c>
    </row>
  </sheetData>
  <mergeCells count="3">
    <mergeCell ref="B2:C2"/>
    <mergeCell ref="A1:C1"/>
    <mergeCell ref="A2:A3"/>
  </mergeCells>
  <pageMargins left="0.7" right="0.7" top="0.75" bottom="0.75" header="0.3" footer="0.3"/>
  <headerFooter>
    <oddFooter>&amp;L_x000D_&amp;1#&amp;"Calibri"&amp;7&amp;K000000 ##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BE13-6901-4964-A1F3-94F170D68B01}">
  <sheetPr>
    <tabColor rgb="FF003366"/>
  </sheetPr>
  <dimension ref="A1:L19"/>
  <sheetViews>
    <sheetView showGridLines="0" zoomScale="110" zoomScaleNormal="110" workbookViewId="0">
      <selection activeCell="F6" sqref="F6"/>
    </sheetView>
  </sheetViews>
  <sheetFormatPr defaultRowHeight="14.4" x14ac:dyDescent="0.3"/>
  <cols>
    <col min="1" max="1" width="39.88671875" bestFit="1" customWidth="1"/>
    <col min="2" max="2" width="16.109375" bestFit="1" customWidth="1"/>
    <col min="3" max="3" width="26.88671875" bestFit="1" customWidth="1"/>
    <col min="4" max="4" width="29" bestFit="1" customWidth="1"/>
  </cols>
  <sheetData>
    <row r="1" spans="1:12" ht="17.399999999999999" customHeight="1" x14ac:dyDescent="0.3">
      <c r="A1" s="76" t="s">
        <v>128</v>
      </c>
      <c r="B1" s="76"/>
      <c r="C1" s="76"/>
      <c r="D1" s="76"/>
    </row>
    <row r="2" spans="1:12" ht="17.399999999999999" customHeight="1" x14ac:dyDescent="0.3">
      <c r="A2" s="92" t="s">
        <v>115</v>
      </c>
      <c r="B2" s="93"/>
      <c r="C2" s="88" t="s">
        <v>58</v>
      </c>
      <c r="D2" s="89"/>
      <c r="E2" s="7"/>
      <c r="F2" s="7"/>
      <c r="G2" s="7"/>
      <c r="H2" s="7"/>
      <c r="I2" s="7"/>
      <c r="J2" s="7"/>
      <c r="K2" s="7"/>
      <c r="L2" s="7"/>
    </row>
    <row r="3" spans="1:12" ht="17.399999999999999" customHeight="1" x14ac:dyDescent="0.3">
      <c r="A3" s="92"/>
      <c r="B3" s="93"/>
      <c r="C3" s="24" t="s">
        <v>69</v>
      </c>
      <c r="D3" s="34" t="s">
        <v>70</v>
      </c>
      <c r="E3" s="7"/>
      <c r="F3" s="7" t="s">
        <v>129</v>
      </c>
      <c r="G3" s="7"/>
      <c r="H3" s="7"/>
      <c r="I3" s="7"/>
      <c r="J3" s="7"/>
      <c r="K3" s="7"/>
      <c r="L3" s="7"/>
    </row>
    <row r="4" spans="1:12" x14ac:dyDescent="0.3">
      <c r="A4" s="9" t="s">
        <v>114</v>
      </c>
      <c r="B4" s="9" t="s">
        <v>109</v>
      </c>
      <c r="C4" s="63">
        <v>5</v>
      </c>
      <c r="D4" s="64">
        <v>10</v>
      </c>
      <c r="F4" t="s">
        <v>130</v>
      </c>
    </row>
    <row r="5" spans="1:12" x14ac:dyDescent="0.3">
      <c r="A5" s="9" t="s">
        <v>110</v>
      </c>
      <c r="B5" s="99">
        <v>10000000</v>
      </c>
      <c r="C5" s="35">
        <f>FV($C$4%/12,'Phí sinh hoạt'!$D$8*12,-B5,0,0)</f>
        <v>4110336685.1568198</v>
      </c>
      <c r="D5" s="35">
        <f>FV($D$4%/12,'Phí sinh hoạt'!$D$8*12,-B5,0,0)</f>
        <v>7593688359.8995962</v>
      </c>
      <c r="F5" t="s">
        <v>131</v>
      </c>
    </row>
    <row r="6" spans="1:12" x14ac:dyDescent="0.3">
      <c r="A6" s="9" t="s">
        <v>111</v>
      </c>
      <c r="B6" s="62">
        <v>5000000</v>
      </c>
      <c r="C6" s="35">
        <f>FV($C$4%/12,'Phí sinh hoạt'!$D$8*12,-B6,0,0)</f>
        <v>2055168342.5784099</v>
      </c>
      <c r="D6" s="35">
        <f>FV($D$4%/12,'Phí sinh hoạt'!$D$8*12,-B6,0,0)</f>
        <v>3796844179.9497981</v>
      </c>
    </row>
    <row r="7" spans="1:12" x14ac:dyDescent="0.3">
      <c r="A7" s="9" t="s">
        <v>112</v>
      </c>
      <c r="B7" s="57">
        <v>5000000</v>
      </c>
      <c r="C7" s="35">
        <f>FV($C$4%/12,'Phí sinh hoạt'!$D$8*12,-B7,0,0)</f>
        <v>2055168342.5784099</v>
      </c>
      <c r="D7" s="35">
        <f>FV($D$4%/12,'Phí sinh hoạt'!$D$8*12,-B7,0,0)</f>
        <v>3796844179.9497981</v>
      </c>
    </row>
    <row r="8" spans="1:12" x14ac:dyDescent="0.3">
      <c r="A8" s="9" t="s">
        <v>113</v>
      </c>
      <c r="B8" s="57">
        <v>3000000</v>
      </c>
      <c r="C8" s="35">
        <f>FV($C$4%/12,'Phí sinh hoạt'!$D$8*12,-B8,0,0)</f>
        <v>1233101005.5470459</v>
      </c>
      <c r="D8" s="35">
        <f>FV($D$4%/12,'Phí sinh hoạt'!$D$8*12,-B8,0,0)</f>
        <v>2278106507.9698787</v>
      </c>
    </row>
    <row r="9" spans="1:12" x14ac:dyDescent="0.3">
      <c r="A9" s="9" t="s">
        <v>63</v>
      </c>
      <c r="B9" s="13">
        <f>SUM(B5:B8)</f>
        <v>23000000</v>
      </c>
      <c r="C9" s="35">
        <f>FV($C$4%/12,'Phí sinh hoạt'!$D$8*12,-B9,0,0)</f>
        <v>9453774375.8606853</v>
      </c>
      <c r="D9" s="35">
        <f>FV($D$4%/12,'Phí sinh hoạt'!$D$8*12,-B9,0,0)</f>
        <v>17465483227.76907</v>
      </c>
    </row>
    <row r="10" spans="1:12" x14ac:dyDescent="0.3">
      <c r="D10" s="2"/>
    </row>
    <row r="11" spans="1:12" x14ac:dyDescent="0.3">
      <c r="D11" s="2"/>
    </row>
    <row r="12" spans="1:12" x14ac:dyDescent="0.3">
      <c r="A12" s="92" t="s">
        <v>116</v>
      </c>
      <c r="B12" s="93"/>
      <c r="C12" s="88" t="s">
        <v>58</v>
      </c>
      <c r="D12" s="89"/>
    </row>
    <row r="13" spans="1:12" x14ac:dyDescent="0.3">
      <c r="A13" s="92"/>
      <c r="B13" s="93"/>
      <c r="C13" s="24" t="s">
        <v>69</v>
      </c>
      <c r="D13" s="34" t="s">
        <v>70</v>
      </c>
    </row>
    <row r="14" spans="1:12" x14ac:dyDescent="0.3">
      <c r="A14" s="9" t="s">
        <v>1</v>
      </c>
      <c r="B14" s="9" t="s">
        <v>39</v>
      </c>
      <c r="C14" s="63">
        <v>5</v>
      </c>
      <c r="D14" s="64">
        <v>10</v>
      </c>
    </row>
    <row r="15" spans="1:12" x14ac:dyDescent="0.3">
      <c r="A15" s="9" t="s">
        <v>110</v>
      </c>
      <c r="B15" s="62">
        <v>100000000</v>
      </c>
      <c r="C15" s="35">
        <f>FV($C$14%,'Phí sinh hoạt'!$D$8,-'Tốc đợ tích lũy theo thời gian'!B15,0,0)</f>
        <v>3306595410.2888412</v>
      </c>
      <c r="D15" s="35">
        <f>FV($D$14%,'Phí sinh hoạt'!$D$8,-'Tốc đợ tích lũy theo thời gian'!B15,0,0)</f>
        <v>5727499949.3256092</v>
      </c>
    </row>
    <row r="16" spans="1:12" x14ac:dyDescent="0.3">
      <c r="A16" s="9" t="s">
        <v>111</v>
      </c>
      <c r="B16" s="62">
        <v>10000000</v>
      </c>
      <c r="C16" s="35">
        <f>FV($C$14%,'Phí sinh hoạt'!$D$8,-'Tốc đợ tích lũy theo thời gian'!B16,0,0)</f>
        <v>330659541.02888411</v>
      </c>
      <c r="D16" s="35">
        <f>FV($D$14%,'Phí sinh hoạt'!$D$8,-'Tốc đợ tích lũy theo thời gian'!B16,0,0)</f>
        <v>572749994.93256092</v>
      </c>
    </row>
    <row r="17" spans="1:4" x14ac:dyDescent="0.3">
      <c r="A17" s="9" t="s">
        <v>112</v>
      </c>
      <c r="B17" s="62">
        <v>10000000</v>
      </c>
      <c r="C17" s="35">
        <f>FV($C$14%,'Phí sinh hoạt'!$D$8,-'Tốc đợ tích lũy theo thời gian'!B17,0,0)</f>
        <v>330659541.02888411</v>
      </c>
      <c r="D17" s="35">
        <f>FV($D$14%,'Phí sinh hoạt'!$D$8,-'Tốc đợ tích lũy theo thời gian'!B17,0,0)</f>
        <v>572749994.93256092</v>
      </c>
    </row>
    <row r="18" spans="1:4" x14ac:dyDescent="0.3">
      <c r="A18" s="9" t="s">
        <v>113</v>
      </c>
      <c r="B18" s="62">
        <v>10000000</v>
      </c>
      <c r="C18" s="35">
        <f>FV($C$14%,'Phí sinh hoạt'!$D$8,-'Tốc đợ tích lũy theo thời gian'!B18,0,0)</f>
        <v>330659541.02888411</v>
      </c>
      <c r="D18" s="35">
        <f>FV($D$14%,'Phí sinh hoạt'!$D$8,-'Tốc đợ tích lũy theo thời gian'!B18,0,0)</f>
        <v>572749994.93256092</v>
      </c>
    </row>
    <row r="19" spans="1:4" x14ac:dyDescent="0.3">
      <c r="A19" s="9" t="s">
        <v>75</v>
      </c>
      <c r="B19" s="13">
        <f>SUM(B15:B18)</f>
        <v>130000000</v>
      </c>
      <c r="C19" s="35">
        <f>FV($C$14%,'Phí sinh hoạt'!$D$8,-'Tốc đợ tích lũy theo thời gian'!B19,0,0)</f>
        <v>4298574033.375494</v>
      </c>
      <c r="D19" s="35">
        <f>FV($D$14%,'Phí sinh hoạt'!$D$8,-'Tốc đợ tích lũy theo thời gian'!B19,0,0)</f>
        <v>7445749934.123292</v>
      </c>
    </row>
  </sheetData>
  <mergeCells count="5">
    <mergeCell ref="C2:D2"/>
    <mergeCell ref="A1:D1"/>
    <mergeCell ref="A2:B3"/>
    <mergeCell ref="A12:B13"/>
    <mergeCell ref="C12:D12"/>
  </mergeCells>
  <pageMargins left="0.7" right="0.7" top="0.75" bottom="0.75" header="0.3" footer="0.3"/>
  <pageSetup paperSize="9" orientation="portrait" r:id="rId1"/>
  <headerFooter>
    <oddFooter>&amp;L_x000D_&amp;1#&amp;"Calibri"&amp;7&amp;K000000 ## RESTRICTED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3149-F837-40C0-AB1B-56BDB2541322}">
  <sheetPr>
    <tabColor rgb="FF009999"/>
  </sheetPr>
  <dimension ref="A1:C9"/>
  <sheetViews>
    <sheetView showGridLines="0" workbookViewId="0">
      <selection activeCell="B16" sqref="B16"/>
    </sheetView>
  </sheetViews>
  <sheetFormatPr defaultRowHeight="14.4" x14ac:dyDescent="0.3"/>
  <cols>
    <col min="1" max="1" width="34.77734375" bestFit="1" customWidth="1"/>
    <col min="2" max="2" width="31.5546875" customWidth="1"/>
    <col min="3" max="3" width="33.77734375" style="1" customWidth="1"/>
  </cols>
  <sheetData>
    <row r="1" spans="1:3" ht="15.6" x14ac:dyDescent="0.3">
      <c r="A1" s="76" t="s">
        <v>132</v>
      </c>
      <c r="B1" s="76"/>
      <c r="C1" s="76"/>
    </row>
    <row r="2" spans="1:3" x14ac:dyDescent="0.3">
      <c r="A2" s="41" t="s">
        <v>72</v>
      </c>
      <c r="B2" s="40" t="s">
        <v>73</v>
      </c>
      <c r="C2" s="42" t="s">
        <v>68</v>
      </c>
    </row>
    <row r="3" spans="1:3" x14ac:dyDescent="0.3">
      <c r="A3" s="9" t="s">
        <v>60</v>
      </c>
      <c r="B3" s="28">
        <f>'Phí sinh hoạt'!D13</f>
        <v>8127500556.0123596</v>
      </c>
      <c r="C3" s="28">
        <f>'Phí sinh hoạt'!D13</f>
        <v>8127500556.0123596</v>
      </c>
    </row>
    <row r="4" spans="1:3" x14ac:dyDescent="0.3">
      <c r="A4" s="9" t="s">
        <v>108</v>
      </c>
      <c r="B4" s="28">
        <f>'Tài sản thực'!E23</f>
        <v>5657804620.6367874</v>
      </c>
      <c r="C4" s="28">
        <f>'Tài sản thực'!E23</f>
        <v>5657804620.6367874</v>
      </c>
    </row>
    <row r="5" spans="1:3" x14ac:dyDescent="0.3">
      <c r="A5" s="9" t="s">
        <v>117</v>
      </c>
      <c r="B5" s="28">
        <f>'Tốc đợ tích lũy theo thời gian'!C5</f>
        <v>4110336685.1568198</v>
      </c>
      <c r="C5" s="28">
        <f>'Tốc đợ tích lũy theo thời gian'!D5</f>
        <v>7593688359.8995962</v>
      </c>
    </row>
    <row r="6" spans="1:3" x14ac:dyDescent="0.3">
      <c r="A6" s="9" t="s">
        <v>118</v>
      </c>
      <c r="B6" s="28">
        <f>'Tốc đợ tích lũy theo thời gian'!C15</f>
        <v>3306595410.2888412</v>
      </c>
      <c r="C6" s="28">
        <f>'Tốc đợ tích lũy theo thời gian'!D15</f>
        <v>5727499949.3256092</v>
      </c>
    </row>
    <row r="7" spans="1:3" x14ac:dyDescent="0.3">
      <c r="A7" s="9" t="s">
        <v>61</v>
      </c>
      <c r="B7" s="28">
        <f>(B4+B5+B6)-B3</f>
        <v>4947236160.0700893</v>
      </c>
      <c r="C7" s="28">
        <f>(C4+C5+C6)-C3</f>
        <v>10851492373.849632</v>
      </c>
    </row>
    <row r="9" spans="1:3" x14ac:dyDescent="0.3">
      <c r="A9" s="100" t="s">
        <v>133</v>
      </c>
    </row>
  </sheetData>
  <mergeCells count="1">
    <mergeCell ref="A1:C1"/>
  </mergeCells>
  <pageMargins left="0.7" right="0.7" top="0.75" bottom="0.75" header="0.3" footer="0.3"/>
  <headerFooter>
    <oddFooter>&amp;L_x000D_&amp;1#&amp;"Calibri"&amp;7&amp;K000000 ## RESTRICTED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A68E-AA41-4CD3-B4B3-E04205972DB6}">
  <sheetPr>
    <tabColor rgb="FF003366"/>
  </sheetPr>
  <dimension ref="A3:E36"/>
  <sheetViews>
    <sheetView showGridLines="0" workbookViewId="0">
      <selection activeCell="B23" sqref="B23"/>
    </sheetView>
  </sheetViews>
  <sheetFormatPr defaultRowHeight="14.4" x14ac:dyDescent="0.3"/>
  <cols>
    <col min="1" max="1" width="44.21875" bestFit="1" customWidth="1"/>
    <col min="2" max="2" width="14.6640625" style="53" bestFit="1" customWidth="1"/>
    <col min="4" max="5" width="28.6640625" style="52" customWidth="1"/>
  </cols>
  <sheetData>
    <row r="3" spans="1:5" x14ac:dyDescent="0.3">
      <c r="A3" s="45" t="s">
        <v>64</v>
      </c>
      <c r="B3" s="46" t="s">
        <v>77</v>
      </c>
      <c r="D3" s="47" t="s">
        <v>87</v>
      </c>
      <c r="E3" s="48">
        <f ca="1">B12</f>
        <v>0</v>
      </c>
    </row>
    <row r="4" spans="1:5" x14ac:dyDescent="0.3">
      <c r="A4" s="9" t="s">
        <v>78</v>
      </c>
      <c r="B4" s="65"/>
      <c r="D4" s="68" t="s">
        <v>89</v>
      </c>
      <c r="E4" s="68"/>
    </row>
    <row r="5" spans="1:5" x14ac:dyDescent="0.3">
      <c r="A5" s="9" t="s">
        <v>79</v>
      </c>
      <c r="B5" s="66"/>
      <c r="D5" s="47" t="s">
        <v>73</v>
      </c>
      <c r="E5" s="54" t="s">
        <v>68</v>
      </c>
    </row>
    <row r="6" spans="1:5" x14ac:dyDescent="0.3">
      <c r="A6" s="9" t="s">
        <v>80</v>
      </c>
      <c r="B6" s="43">
        <f ca="1">DATEDIF(B5,TODAY(),"Y")</f>
        <v>126</v>
      </c>
      <c r="D6" s="49">
        <f ca="1">PMT('Tốc đợ tích lũy theo thời gian'!C4%/12,'Kế hoạch học vấn'!B9*12,0,-'Kế hoạch học vấn'!E3)</f>
        <v>0</v>
      </c>
      <c r="E6" s="49">
        <f ca="1">PMT('Tốc đợ tích lũy theo thời gian'!D4%/12,'Kế hoạch học vấn'!B9*12,0,-'Kế hoạch học vấn'!E3)</f>
        <v>0</v>
      </c>
    </row>
    <row r="7" spans="1:5" x14ac:dyDescent="0.3">
      <c r="A7" s="9" t="s">
        <v>81</v>
      </c>
      <c r="B7" s="43">
        <v>18</v>
      </c>
      <c r="D7" s="68" t="s">
        <v>88</v>
      </c>
      <c r="E7" s="68"/>
    </row>
    <row r="8" spans="1:5" x14ac:dyDescent="0.3">
      <c r="A8" s="9" t="s">
        <v>83</v>
      </c>
      <c r="B8" s="67"/>
      <c r="D8" s="47" t="s">
        <v>73</v>
      </c>
      <c r="E8" s="54" t="s">
        <v>68</v>
      </c>
    </row>
    <row r="9" spans="1:5" x14ac:dyDescent="0.3">
      <c r="A9" s="9" t="s">
        <v>82</v>
      </c>
      <c r="B9" s="50">
        <f ca="1">B7-B6</f>
        <v>-108</v>
      </c>
      <c r="D9" s="51">
        <f ca="1">PMT('Tốc đợ tích lũy theo thời gian'!C4%,'Kế hoạch học vấn'!B9,0,-'Kế hoạch học vấn'!E3)</f>
        <v>0</v>
      </c>
      <c r="E9" s="51">
        <f ca="1">PMT('Tốc đợ tích lũy theo thời gian'!D4%,'Kế hoạch học vấn'!B9,0,-'Kế hoạch học vấn'!E3)</f>
        <v>0</v>
      </c>
    </row>
    <row r="10" spans="1:5" x14ac:dyDescent="0.3">
      <c r="A10" s="9" t="s">
        <v>84</v>
      </c>
      <c r="B10" s="50">
        <f ca="1">B8*B9</f>
        <v>0</v>
      </c>
    </row>
    <row r="11" spans="1:5" x14ac:dyDescent="0.3">
      <c r="A11" s="9" t="s">
        <v>85</v>
      </c>
      <c r="B11" s="67"/>
    </row>
    <row r="12" spans="1:5" x14ac:dyDescent="0.3">
      <c r="A12" s="9" t="s">
        <v>86</v>
      </c>
      <c r="B12" s="50">
        <f ca="1">FV(3%,B9,0,-B11,0)</f>
        <v>0</v>
      </c>
    </row>
    <row r="15" spans="1:5" x14ac:dyDescent="0.3">
      <c r="A15" s="45" t="s">
        <v>65</v>
      </c>
      <c r="B15" s="46" t="s">
        <v>76</v>
      </c>
      <c r="D15" s="47" t="s">
        <v>87</v>
      </c>
      <c r="E15" s="48">
        <f ca="1">B24</f>
        <v>0</v>
      </c>
    </row>
    <row r="16" spans="1:5" x14ac:dyDescent="0.3">
      <c r="A16" s="9" t="s">
        <v>78</v>
      </c>
      <c r="B16" s="65"/>
      <c r="D16" s="68" t="s">
        <v>89</v>
      </c>
      <c r="E16" s="68"/>
    </row>
    <row r="17" spans="1:5" x14ac:dyDescent="0.3">
      <c r="A17" s="9" t="s">
        <v>79</v>
      </c>
      <c r="B17" s="66"/>
      <c r="D17" s="47" t="s">
        <v>73</v>
      </c>
      <c r="E17" s="54" t="s">
        <v>68</v>
      </c>
    </row>
    <row r="18" spans="1:5" x14ac:dyDescent="0.3">
      <c r="A18" s="9" t="s">
        <v>80</v>
      </c>
      <c r="B18" s="43">
        <f ca="1">DATEDIF(B17,TODAY(),"Y")</f>
        <v>126</v>
      </c>
      <c r="D18" s="49">
        <f ca="1">PMT('Tốc đợ tích lũy theo thời gian'!C4%/12,'Kế hoạch học vấn'!B21*12,0,-'Kế hoạch học vấn'!E15)</f>
        <v>0</v>
      </c>
      <c r="E18" s="49">
        <f ca="1">PMT('Tốc đợ tích lũy theo thời gian'!D4%/12,'Kế hoạch học vấn'!B21*12,0,-'Kế hoạch học vấn'!E15)</f>
        <v>0</v>
      </c>
    </row>
    <row r="19" spans="1:5" x14ac:dyDescent="0.3">
      <c r="A19" s="9" t="s">
        <v>81</v>
      </c>
      <c r="B19" s="43">
        <v>18</v>
      </c>
      <c r="D19" s="68" t="s">
        <v>88</v>
      </c>
      <c r="E19" s="68"/>
    </row>
    <row r="20" spans="1:5" x14ac:dyDescent="0.3">
      <c r="A20" s="9" t="s">
        <v>83</v>
      </c>
      <c r="B20" s="67"/>
      <c r="D20" s="47" t="s">
        <v>73</v>
      </c>
      <c r="E20" s="54" t="s">
        <v>68</v>
      </c>
    </row>
    <row r="21" spans="1:5" x14ac:dyDescent="0.3">
      <c r="A21" s="9" t="s">
        <v>82</v>
      </c>
      <c r="B21" s="50">
        <f ca="1">B19-B18</f>
        <v>-108</v>
      </c>
      <c r="D21" s="51">
        <f ca="1">PMT('Tốc đợ tích lũy theo thời gian'!C4%,'Kế hoạch học vấn'!B21,0,-'Kế hoạch học vấn'!E15)</f>
        <v>0</v>
      </c>
      <c r="E21" s="51">
        <f ca="1">PMT('Tốc đợ tích lũy theo thời gian'!D4%,'Kế hoạch học vấn'!B21,0,-'Kế hoạch học vấn'!E15)</f>
        <v>0</v>
      </c>
    </row>
    <row r="22" spans="1:5" x14ac:dyDescent="0.3">
      <c r="A22" s="9" t="s">
        <v>84</v>
      </c>
      <c r="B22" s="50">
        <f ca="1">B20*B21</f>
        <v>0</v>
      </c>
    </row>
    <row r="23" spans="1:5" x14ac:dyDescent="0.3">
      <c r="A23" s="9" t="s">
        <v>85</v>
      </c>
      <c r="B23" s="67"/>
    </row>
    <row r="24" spans="1:5" x14ac:dyDescent="0.3">
      <c r="A24" s="9" t="s">
        <v>86</v>
      </c>
      <c r="B24" s="50">
        <f ca="1">FV(3%,B21,0,-B23,0)</f>
        <v>0</v>
      </c>
    </row>
    <row r="27" spans="1:5" x14ac:dyDescent="0.3">
      <c r="A27" s="45" t="s">
        <v>66</v>
      </c>
      <c r="B27" s="46" t="s">
        <v>76</v>
      </c>
      <c r="D27" s="47" t="s">
        <v>87</v>
      </c>
      <c r="E27" s="48">
        <f ca="1">B36</f>
        <v>0</v>
      </c>
    </row>
    <row r="28" spans="1:5" x14ac:dyDescent="0.3">
      <c r="A28" s="9" t="s">
        <v>78</v>
      </c>
      <c r="B28" s="65"/>
      <c r="D28" s="68" t="s">
        <v>89</v>
      </c>
      <c r="E28" s="68"/>
    </row>
    <row r="29" spans="1:5" x14ac:dyDescent="0.3">
      <c r="A29" s="9" t="s">
        <v>79</v>
      </c>
      <c r="B29" s="66"/>
      <c r="D29" s="47" t="s">
        <v>73</v>
      </c>
      <c r="E29" s="54" t="s">
        <v>68</v>
      </c>
    </row>
    <row r="30" spans="1:5" x14ac:dyDescent="0.3">
      <c r="A30" s="9" t="s">
        <v>80</v>
      </c>
      <c r="B30" s="43">
        <f ca="1">DATEDIF(B29,TODAY(),"Y")</f>
        <v>126</v>
      </c>
      <c r="D30" s="49">
        <f ca="1">PMT('Tốc đợ tích lũy theo thời gian'!C4%/12,'Kế hoạch học vấn'!B33*12,0,-'Kế hoạch học vấn'!E27)</f>
        <v>0</v>
      </c>
      <c r="E30" s="49">
        <f ca="1">PMT('Tốc đợ tích lũy theo thời gian'!D4%/12,'Kế hoạch học vấn'!B33*12,0,-'Kế hoạch học vấn'!E27)</f>
        <v>0</v>
      </c>
    </row>
    <row r="31" spans="1:5" x14ac:dyDescent="0.3">
      <c r="A31" s="9" t="s">
        <v>81</v>
      </c>
      <c r="B31" s="43">
        <v>18</v>
      </c>
      <c r="D31" s="68" t="s">
        <v>88</v>
      </c>
      <c r="E31" s="68"/>
    </row>
    <row r="32" spans="1:5" x14ac:dyDescent="0.3">
      <c r="A32" s="9" t="s">
        <v>83</v>
      </c>
      <c r="B32" s="67"/>
      <c r="D32" s="47" t="s">
        <v>73</v>
      </c>
      <c r="E32" s="54" t="s">
        <v>68</v>
      </c>
    </row>
    <row r="33" spans="1:5" x14ac:dyDescent="0.3">
      <c r="A33" s="9" t="s">
        <v>82</v>
      </c>
      <c r="B33" s="50">
        <f ca="1">B31-B30</f>
        <v>-108</v>
      </c>
      <c r="D33" s="51">
        <f ca="1">PMT('Tốc đợ tích lũy theo thời gian'!C4%,'Kế hoạch học vấn'!B33,0,-'Kế hoạch học vấn'!E27)</f>
        <v>0</v>
      </c>
      <c r="E33" s="51">
        <f ca="1">PMT('Tốc đợ tích lũy theo thời gian'!D4%,'Kế hoạch học vấn'!B33,0,-'Kế hoạch học vấn'!E27)</f>
        <v>0</v>
      </c>
    </row>
    <row r="34" spans="1:5" x14ac:dyDescent="0.3">
      <c r="A34" s="9" t="s">
        <v>84</v>
      </c>
      <c r="B34" s="50">
        <f ca="1">B32*B33</f>
        <v>0</v>
      </c>
    </row>
    <row r="35" spans="1:5" x14ac:dyDescent="0.3">
      <c r="A35" s="9" t="s">
        <v>85</v>
      </c>
      <c r="B35" s="67"/>
    </row>
    <row r="36" spans="1:5" x14ac:dyDescent="0.3">
      <c r="A36" s="9" t="s">
        <v>86</v>
      </c>
      <c r="B36" s="50">
        <f ca="1">FV(3%,B33,0,-B35,0)</f>
        <v>0</v>
      </c>
    </row>
  </sheetData>
  <mergeCells count="6">
    <mergeCell ref="D31:E31"/>
    <mergeCell ref="D4:E4"/>
    <mergeCell ref="D7:E7"/>
    <mergeCell ref="D16:E16"/>
    <mergeCell ref="D19:E19"/>
    <mergeCell ref="D28:E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Phí sinh hoạt</vt:lpstr>
      <vt:lpstr>Tài sản thực</vt:lpstr>
      <vt:lpstr>Thu Chi và Khả Năng Tiết Kiệm</vt:lpstr>
      <vt:lpstr>Tốc đợ tích lũy theo thời gian</vt:lpstr>
      <vt:lpstr>Tạm tính khả năng</vt:lpstr>
      <vt:lpstr>Kế hoạch học vấn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HUONG KIM</dc:creator>
  <cp:lastModifiedBy>HUONG KIM</cp:lastModifiedBy>
  <dcterms:created xsi:type="dcterms:W3CDTF">2023-12-10T15:19:11Z</dcterms:created>
  <dcterms:modified xsi:type="dcterms:W3CDTF">2026-03-12T14:39:48Z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418ee5-23e2-415c-a7a0-e3652cb3d681_Enabled">
    <vt:lpwstr>true</vt:lpwstr>
  </property>
  <property fmtid="{D5CDD505-2E9C-101B-9397-08002B2CF9AE}" pid="3" name="MSIP_Label_f1418ee5-23e2-415c-a7a0-e3652cb3d681_SetDate">
    <vt:lpwstr>2023-12-13T01:51:31Z</vt:lpwstr>
  </property>
  <property fmtid="{D5CDD505-2E9C-101B-9397-08002B2CF9AE}" pid="4" name="MSIP_Label_f1418ee5-23e2-415c-a7a0-e3652cb3d681_Method">
    <vt:lpwstr>Privileged</vt:lpwstr>
  </property>
  <property fmtid="{D5CDD505-2E9C-101B-9397-08002B2CF9AE}" pid="5" name="MSIP_Label_f1418ee5-23e2-415c-a7a0-e3652cb3d681_Name">
    <vt:lpwstr>Restricted</vt:lpwstr>
  </property>
  <property fmtid="{D5CDD505-2E9C-101B-9397-08002B2CF9AE}" pid="6" name="MSIP_Label_f1418ee5-23e2-415c-a7a0-e3652cb3d681_SiteId">
    <vt:lpwstr>7e586855-d882-4339-9a56-032d0aa10991</vt:lpwstr>
  </property>
  <property fmtid="{D5CDD505-2E9C-101B-9397-08002B2CF9AE}" pid="7" name="MSIP_Label_f1418ee5-23e2-415c-a7a0-e3652cb3d681_ActionId">
    <vt:lpwstr>4f1a52bf-9288-4df8-9017-2495ba1b95a8</vt:lpwstr>
  </property>
  <property fmtid="{D5CDD505-2E9C-101B-9397-08002B2CF9AE}" pid="8" name="MSIP_Label_f1418ee5-23e2-415c-a7a0-e3652cb3d681_ContentBits">
    <vt:lpwstr>2</vt:lpwstr>
  </property>
</Properties>
</file>